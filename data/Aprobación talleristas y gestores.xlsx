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CONOMIA POPULAR\EQUIPO EJECUTOR\"/>
    </mc:Choice>
  </mc:AlternateContent>
  <xr:revisionPtr revIDLastSave="0" documentId="13_ncr:1_{ADFAA316-8F1B-4DD7-A5D7-99E9838734B2}" xr6:coauthVersionLast="47" xr6:coauthVersionMax="47" xr10:uidLastSave="{00000000-0000-0000-0000-000000000000}"/>
  <bookViews>
    <workbookView xWindow="-108" yWindow="-108" windowWidth="23256" windowHeight="12456" tabRatio="557" firstSheet="2" activeTab="2" xr2:uid="{FEA912ED-889F-442F-A5C5-E2F1BFC12B76}"/>
  </bookViews>
  <sheets>
    <sheet name="TD 29 ABRL" sheetId="9" state="hidden" r:id="rId1"/>
    <sheet name="Faltantes eq.min" sheetId="10" state="hidden" r:id="rId2"/>
    <sheet name="Base sin duplicados  " sheetId="16" r:id="rId3"/>
    <sheet name="Cambio de roles" sheetId="15" r:id="rId4"/>
    <sheet name="TD" sheetId="7" state="hidden" r:id="rId5"/>
    <sheet name="Equipo aprobado UdeA" sheetId="4" state="hidden" r:id="rId6"/>
    <sheet name="Hoja1" sheetId="5" state="hidden" r:id="rId7"/>
  </sheets>
  <definedNames>
    <definedName name="_xlnm._FilterDatabase" localSheetId="2" hidden="1">'Base sin duplicados  '!$A$1:$S$618</definedName>
    <definedName name="_xlnm._FilterDatabase" localSheetId="6" hidden="1">Hoja1!$B$1:$B$1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0" l="1"/>
  <c r="F10" i="10"/>
  <c r="F8" i="10"/>
  <c r="F5" i="10"/>
  <c r="F47" i="7" l="1"/>
  <c r="F41" i="7"/>
  <c r="F30" i="7"/>
  <c r="F14" i="7"/>
  <c r="G3" i="4" l="1"/>
  <c r="F3" i="4"/>
  <c r="E3" i="4"/>
  <c r="D3" i="4"/>
  <c r="G9" i="4"/>
  <c r="G4" i="4"/>
  <c r="G5" i="4"/>
  <c r="G6" i="4"/>
  <c r="G7" i="4"/>
  <c r="G8" i="4"/>
  <c r="F4" i="4"/>
  <c r="F5" i="4"/>
  <c r="F6" i="4"/>
  <c r="F7" i="4"/>
  <c r="F8" i="4"/>
  <c r="E4" i="4"/>
  <c r="E5" i="4"/>
  <c r="E6" i="4"/>
  <c r="E7" i="4"/>
  <c r="E8" i="4"/>
  <c r="D4" i="4"/>
  <c r="D5" i="4"/>
  <c r="D6" i="4"/>
  <c r="D7" i="4"/>
  <c r="D8" i="4"/>
  <c r="C4" i="4"/>
  <c r="C5" i="4"/>
  <c r="C6" i="4"/>
  <c r="C7" i="4"/>
  <c r="C8" i="4"/>
  <c r="C3" i="4"/>
  <c r="B4" i="4"/>
  <c r="B5" i="4"/>
  <c r="B6" i="4"/>
  <c r="B7" i="4"/>
  <c r="B8" i="4"/>
  <c r="B3" i="4"/>
  <c r="I19" i="4"/>
  <c r="G14" i="4"/>
  <c r="G18" i="4" s="1"/>
  <c r="F14" i="4"/>
  <c r="F15" i="4" s="1"/>
  <c r="E14" i="4"/>
  <c r="D14" i="4"/>
  <c r="D15" i="4" s="1"/>
  <c r="C14" i="4"/>
  <c r="C15" i="4" s="1"/>
  <c r="B14" i="4"/>
  <c r="B15" i="4" s="1"/>
  <c r="I10" i="4"/>
  <c r="B17" i="4" l="1"/>
  <c r="B16" i="4"/>
  <c r="F9" i="4"/>
  <c r="F18" i="4"/>
  <c r="E9" i="4"/>
  <c r="E18" i="4"/>
  <c r="C10" i="4"/>
  <c r="C11" i="4" s="1"/>
  <c r="G10" i="4"/>
  <c r="G11" i="4" s="1"/>
  <c r="D17" i="4"/>
  <c r="D16" i="4"/>
  <c r="C16" i="4"/>
  <c r="C17" i="4"/>
  <c r="E17" i="4"/>
  <c r="E16" i="4"/>
  <c r="E10" i="4"/>
  <c r="E11" i="4" s="1"/>
  <c r="E15" i="4"/>
  <c r="G15" i="4"/>
  <c r="G17" i="4"/>
  <c r="G16" i="4"/>
  <c r="F10" i="4"/>
  <c r="F11" i="4" s="1"/>
  <c r="F17" i="4"/>
  <c r="F16" i="4"/>
  <c r="D18" i="4"/>
  <c r="C18" i="4"/>
  <c r="B18" i="4"/>
  <c r="D9" i="4"/>
  <c r="D10" i="4"/>
  <c r="D11" i="4" s="1"/>
  <c r="C9" i="4"/>
  <c r="H5" i="4"/>
  <c r="H4" i="4"/>
  <c r="H7" i="4"/>
  <c r="H6" i="4"/>
  <c r="B9" i="4"/>
  <c r="B10" i="4"/>
  <c r="H8" i="4"/>
  <c r="H3" i="4"/>
  <c r="B19" i="4" l="1"/>
  <c r="B20" i="4" s="1"/>
  <c r="H16" i="4"/>
  <c r="H10" i="4"/>
  <c r="E19" i="4"/>
  <c r="E20" i="4" s="1"/>
  <c r="C19" i="4"/>
  <c r="C20" i="4" s="1"/>
  <c r="G19" i="4"/>
  <c r="G20" i="4" s="1"/>
  <c r="H15" i="4"/>
  <c r="H17" i="4"/>
  <c r="H18" i="4"/>
  <c r="F19" i="4"/>
  <c r="F20" i="4" s="1"/>
  <c r="H9" i="4"/>
  <c r="B11" i="4"/>
  <c r="D19" i="4"/>
  <c r="D20" i="4" s="1"/>
  <c r="H19" i="4" l="1"/>
  <c r="J22" i="4" s="1"/>
  <c r="H11" i="4"/>
  <c r="J23" i="4"/>
  <c r="J24" i="4" l="1"/>
  <c r="H2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I422" authorId="0" shapeId="0" xr:uid="{D10DAEA1-9861-4F91-A749-66DF922AB83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La carpeta se entregó vacía</t>
        </r>
      </text>
    </comment>
  </commentList>
</comments>
</file>

<file path=xl/sharedStrings.xml><?xml version="1.0" encoding="utf-8"?>
<sst xmlns="http://schemas.openxmlformats.org/spreadsheetml/2006/main" count="6504" uniqueCount="1779">
  <si>
    <t>Fecha de envio</t>
  </si>
  <si>
    <t>Nombre completo</t>
  </si>
  <si>
    <t>Numero de cedula</t>
  </si>
  <si>
    <t>Cargo</t>
  </si>
  <si>
    <t>Enlace documentacion</t>
  </si>
  <si>
    <t>Celular</t>
  </si>
  <si>
    <t>JOSE ALEJANDRO BUSTAMANTE RIQUETT</t>
  </si>
  <si>
    <t>https://drive.google.com/drive/folders/1aC80AXsI-nwwGCbsi6_wR9FxdURR5Rh6</t>
  </si>
  <si>
    <t>RIKY ANDRES CARRILLO CADENA</t>
  </si>
  <si>
    <t>https://drive.google.com/drive/folders/12l8Y9bUELyJU60_U7--sOnUpsCBV73xv?usp=sharing</t>
  </si>
  <si>
    <t>ALEJANDRA ROMERO CASTILLO</t>
  </si>
  <si>
    <t>https://drive.google.com/drive/folders/1kj7rZzDVQ8DLc8ATtZeidgd2CDZlevKQ</t>
  </si>
  <si>
    <t>ALEJANDRO BARRIOS TRUJILLO</t>
  </si>
  <si>
    <t>RAFAEL ANGEL SANCHEZ LUNA</t>
  </si>
  <si>
    <t>https://drive.google.com/drive/folders/1_eJnT_s1J6XszrSXDqA96-HMhgZTods6?usp=sharing</t>
  </si>
  <si>
    <t>NANCY PAOLA BOLIVAR CUCHIA</t>
  </si>
  <si>
    <t>https://drive.google.com/drive/u/0/folders/1wez4-H6u8h-ll3ytUw1k076VLVR6y14Z</t>
  </si>
  <si>
    <t>301 3877377</t>
  </si>
  <si>
    <t>CAROLINA BLANCO VILLAMIZAR</t>
  </si>
  <si>
    <t>https://drive.google.com/drive/folders/1C0itfnaKpJ4BMOPeVwn9hUUtFkoPjnwS</t>
  </si>
  <si>
    <t>GERMAN RICARDO TRIANA IBARRA</t>
  </si>
  <si>
    <t>https://drive.google.com/drive/u/0/folders/1Dm9toElCUhi6jKTjx2CuqOoOT5wO1o5O</t>
  </si>
  <si>
    <t>PAOLA ANDREA MAYORGA AVILES</t>
  </si>
  <si>
    <t>https://drive.google.com/drive/folders/1qmvwprXCT80TevLFyGldvH-wxTYsPza4?usp=share_link</t>
  </si>
  <si>
    <t>ANDRES FELIPE CASALLAS CASTRO</t>
  </si>
  <si>
    <t>https://drive.google.com/drive/folders/192dsW7ZXAF7q-SFyRnZRvlCyrkhGFwUt?usp=sharing</t>
  </si>
  <si>
    <t>ZAMANTHA GONZALEZ CUESTA</t>
  </si>
  <si>
    <t>https://drive.google.com/drive/folders/1bythcTsEYPpd7ggAHSiOo0N3d4zL5rFP</t>
  </si>
  <si>
    <t>CAROL LILIANA RAMIREZ</t>
  </si>
  <si>
    <t>https://drive.google.com/drive/folders/1RxJbrxWBzthqZHQueCLLdBvtCuR8JACh?usp=sharing</t>
  </si>
  <si>
    <t>MARIA ALEJANDRA RIOS DÍAZ</t>
  </si>
  <si>
    <t>https://drive.google.com/drive/u/1/folders/1psNRBC2-rc_YnA7i4r_UV5RlaisvBZOg</t>
  </si>
  <si>
    <t>JHON JAIRO NOGUERA</t>
  </si>
  <si>
    <t>https://drive.google.com/drive/folders/140UQ7pXm7pnJJTM4bJg8hyL1qxUJ1o45?usp=sharing</t>
  </si>
  <si>
    <t>JERSON STIVEN GARCIA PICON</t>
  </si>
  <si>
    <t>https://drive.google.com/drive/folders/1g2UZ9p3ff192jGokvNBKV2UmCrPWoozy</t>
  </si>
  <si>
    <t>VIVIANA PATRICIA RAMOS GUZMAN</t>
  </si>
  <si>
    <t>https://drive.google.com/drive/folders/1bTG1LNIkMbT5vW7WWZHC8dyJAx_AYxYD</t>
  </si>
  <si>
    <t>317 6809533 – 310 3265477</t>
  </si>
  <si>
    <t>ANA VICTORIA USAGA DAVID</t>
  </si>
  <si>
    <t>https://drive.google.com/drive/u/1/folders/1sU1z8KafVvJrheCrErKkkZtoIf2GFOsP</t>
  </si>
  <si>
    <t>DIEGO FERNANDO OVIEDO MEDINA</t>
  </si>
  <si>
    <t>https://drive.google.com/drive/u/1/folders/1bXaBBrDr_WCwnLjO-lG-QRdlgI-5SRux</t>
  </si>
  <si>
    <t>3133492495/3164354792</t>
  </si>
  <si>
    <t>LEONARDO ENRIQUE PELÁEZ BUITRAGO</t>
  </si>
  <si>
    <t>https://drive.google.com/drive/folders/1ISwyFx4qNPaIyKAPNOoJw1nYLnJYiB_G</t>
  </si>
  <si>
    <t>313 415 4614</t>
  </si>
  <si>
    <t>SARAMINTA SÁNCHEZ ARANGO</t>
  </si>
  <si>
    <t>https://drive.google.com/drive/u/1/folders/1YR4p7IhOAIAsbDWKTbl1lZLssetKXEFB</t>
  </si>
  <si>
    <t>ADRIANA PILAR LEAL ALFONSO</t>
  </si>
  <si>
    <t>https://drive.google.com/drive/folders/1BzmHZ9AzbUk_t97ZRxGA6SB5bl5FD36g</t>
  </si>
  <si>
    <t>3108873339 - 3208309836</t>
  </si>
  <si>
    <t>CRISTIAM DAVIS OROZCO DIAZ</t>
  </si>
  <si>
    <t>https://drive.google.com/drive/folders/1Dqrhb2d1twKZQeD01ssGY8C3KHo0wNeC</t>
  </si>
  <si>
    <t>NAHUN EMIRO PAREDES</t>
  </si>
  <si>
    <t>https://drive.google.com/drive/u/1/folders/1ZZPbznhGgsnHaa81JWJEUbPNybXHtNsY</t>
  </si>
  <si>
    <t>FABIO ANDRÉS RINCÓN LOZANO</t>
  </si>
  <si>
    <t>https://drive.google.com/drive/folders/17GromPFOABiThooep9R3E-FMtneT1ait</t>
  </si>
  <si>
    <t>ANGIE MILENA NARANJO SARMIENTO</t>
  </si>
  <si>
    <t>https://drive.google.com/drive/folders/1igzahsD2XT7ynoqMl1JenJlag8GjP1eB</t>
  </si>
  <si>
    <t>319 689 1634</t>
  </si>
  <si>
    <t>DIANA PATRICIA MORA CAICEDO</t>
  </si>
  <si>
    <t>https://drive.google.com/drive/folders/1cv9Rbp7o6QhtLYdRXlPA92KziTevnpc2?usp=share_link</t>
  </si>
  <si>
    <t>LAURA NATALY DUARTE ROMERO</t>
  </si>
  <si>
    <t>https://drive.google.com/drive/folders/1VKNpBIxwayiqzhgDcng7QU1imXnNbqIn?usp=drive_link</t>
  </si>
  <si>
    <t>ALEXANDER CARDENAS BARRIOS</t>
  </si>
  <si>
    <t>https://drive.google.com/drive/folders/1114T75FrhIKd-7egQhkoSc2UV_4CCvb3?usp=drive_link</t>
  </si>
  <si>
    <t>ANGIE ESTEFANIA LINAREZ ROJAS</t>
  </si>
  <si>
    <t>https://drive.google.com/drive/folders/1rQALceEzUmd7Z8vLTyar07S9r_IZegVT?usp=drive_link</t>
  </si>
  <si>
    <t>LAURA CAMILA NARANJO SARMIENTO</t>
  </si>
  <si>
    <t>https://drive.google.com/drive/folders/1nweZBxXRHcawBvpqJCijzct89Up1_Was</t>
  </si>
  <si>
    <t>300 415 3381</t>
  </si>
  <si>
    <t>DEYSSY PATRICIA TOVAR</t>
  </si>
  <si>
    <t>https://drive.google.com/drive/folders/1rV9sAM3swms-NvrwBPq_ZaJpnXO9qQHB?usp=sharing</t>
  </si>
  <si>
    <t>LUIS FERNANDO ARIAS CONTRERAS</t>
  </si>
  <si>
    <t>https://drive.google.com/drive/folders/1MaSvQYoDXhyT94SowCbOFdIaO6VvMvyb?usp=sharing</t>
  </si>
  <si>
    <t>DIEGO FERNANDO LIZARAZO BARÓN</t>
  </si>
  <si>
    <t>https://drive.google.com/drive/folders/1ugT0mwdbtEy5DVZsmcxJtUC1iI8wJpda</t>
  </si>
  <si>
    <t>HAROLD MAURICIO ORDUÑA</t>
  </si>
  <si>
    <t>https://drive.google.com/drive/folders/1htXiuz8Ir3QVOPZmfNhsHiCYuTH_RAKP?usp=sharing</t>
  </si>
  <si>
    <t>SANDRA MILENA GARCÍA</t>
  </si>
  <si>
    <t>https://drive.google.com/drive/folders/10czFmF5ZSv-piuFAZ0cn9Z9phxAlww0Y?usp=sharing</t>
  </si>
  <si>
    <t>300 3111312</t>
  </si>
  <si>
    <t>DARLY YANETH ALBA PÁEZ</t>
  </si>
  <si>
    <t>https://drive.google.com/drive/folders/1Vd5t6-n6er3R9Vz06_JVRBYxJ0ndXSuK?usp=sharing</t>
  </si>
  <si>
    <t>https://drive.google.com/drive/folders/1tjdRlau5b80qAXiBCF0nsIDM33HJ5IX0?usp=sharing</t>
  </si>
  <si>
    <t>https://drive.google.com/drive/folders/1vDnOg85QAP_BoVsO4kuxGpUg-qlsS9X-?usp=sharing</t>
  </si>
  <si>
    <t>DANIEL FELIPE RUIZ PINEDA</t>
  </si>
  <si>
    <t>https://drive.google.com/drive/folders/1gzkXW4_VDWwyXZRB995R0QiTIPkrw4oY</t>
  </si>
  <si>
    <t>JOSE DAVID GARCÍA PINEDA</t>
  </si>
  <si>
    <t>https://drive.google.com/drive/folders/1RlNs3qBWdIa5fbrhzUQWvt-2x4_q_Z1K?usp=sharing</t>
  </si>
  <si>
    <t>OSCAR ANDRES CARRILLO FLOREZ</t>
  </si>
  <si>
    <t>https://drive.google.com/drive/folders/1_QmM8K_U5Aw5FfZo288YRIT1xxPm7mPA?usp=sharing</t>
  </si>
  <si>
    <t>ANASTACIA JULIANA ACEVEDO SANGUINO</t>
  </si>
  <si>
    <t>https://drive.google.com/drive/folders/1kGUq8IjKzORdxJXgJXHjuMWyhdf79WQ</t>
  </si>
  <si>
    <t>JULIETH ALEJANDRA SANCHEZ DOZA</t>
  </si>
  <si>
    <t>https://drive.google.com/drive/folders/1dXOwSNIcZsMbktKPzfOdACPjHbdNhcRN</t>
  </si>
  <si>
    <t>HEINER FERLEY RINCON RAMIREZ</t>
  </si>
  <si>
    <t>https://drive.google.com/drive/folders/1sntfNxN1f28kZ5cDNIJYy7whHhN4lVT4</t>
  </si>
  <si>
    <t xml:space="preserve">LADY MILENA MONTENEGRO CHAMORRO </t>
  </si>
  <si>
    <t>https://drive.google.com/drive/folders/1bjhPUJFw1r0fo-I4yhovrTfabGMak4Z3?usp=sharing</t>
  </si>
  <si>
    <t>Gestor</t>
  </si>
  <si>
    <t>https://drive.google.com/drive/folders/1eOBN88QMOx8YjRDtPvH6bt1LikchEfmL</t>
  </si>
  <si>
    <t>ELISA MILENA SALINAS</t>
  </si>
  <si>
    <t>GERMAN ANTONIO RODRÍGUEZ NIÑO</t>
  </si>
  <si>
    <t>https://drive.google.com/drive/folders/1tgCllxsYKGpT74ItBOqg6isypBdkTNHT</t>
  </si>
  <si>
    <t xml:space="preserve">INGRI ALEIRA ALFONSO </t>
  </si>
  <si>
    <t>https://drive.google.com/drive/folders/1bTm2c5o3q97ONqC1EUo_kvF3k7mnd9WD</t>
  </si>
  <si>
    <t>ROSELYS DEL CARMEN LLORENTE</t>
  </si>
  <si>
    <t>https://drive.google.com/drive/folders/1zkUj-EdGYzfKY6J7G5uUsgG_xW5rrq04</t>
  </si>
  <si>
    <t xml:space="preserve">DANILA ISABEL CANTILLO MARTINEZ </t>
  </si>
  <si>
    <t>https://drive.google.com/drive/folders/1mT0Go6PwuzAr74LNezDd29uZKgdZ4mwQ?usp=sharing</t>
  </si>
  <si>
    <t>CESAR HUMBERTO CARRERO</t>
  </si>
  <si>
    <t>https://drive.google.com/drive/folders/1EU0SsmHLZ32j1p6U0LAB06xKoYlRKgpW?usp=sharing</t>
  </si>
  <si>
    <t>OBER CONTRERAS BENITEZ</t>
  </si>
  <si>
    <t>https://drive.google.com/drive/folders/1Ly4GCHjKnAr9oR_LkFNkxGgYt-fuNGu-</t>
  </si>
  <si>
    <t>JESUS RAFAEL URZOLA</t>
  </si>
  <si>
    <t>https://drive.google.com/drive/folders/1XvHSHv-dPLUmt7LrBkaPXtbK3uenC4Ao</t>
  </si>
  <si>
    <t>JHON EDUARD HERNANDEZ ESPINOS</t>
  </si>
  <si>
    <t>https://drive.google.com/drive/folders/1TGUkye96HlNMp9EID-M7VhtfyLIzcriV?usp=sharing</t>
  </si>
  <si>
    <t xml:space="preserve">WILFREDO RODRIGUEZ MENDOZA </t>
  </si>
  <si>
    <t>https://drive.google.com/drive/folders/1wvCTK1ViSEaNFb08YQENRXLiSW_VNe-7?usp=sharing</t>
  </si>
  <si>
    <t>LAURA CORTÉS GAITÁN</t>
  </si>
  <si>
    <t>VIVIANA COGOLLO GÓMEZ</t>
  </si>
  <si>
    <t>https://drive.google.com/drive/folders/1yaKjdG60phpeRQN7EyU2qEiNQSaruADz</t>
  </si>
  <si>
    <t xml:space="preserve">ANTONIO RORIGUEZ BURGOS </t>
  </si>
  <si>
    <t>https://drive.google.com/drive/folders/1SXAnjZ993W9RafkNnnRaNCIrWd6dh0mm?usp=sharing</t>
  </si>
  <si>
    <t xml:space="preserve">NUBIA STELLA GARCIA POVEDA </t>
  </si>
  <si>
    <t>https://drive.google.com/drive/folders/1FjX93iOwIZ7pL56i6q3m69j97d6cF5wD?usp=sharing</t>
  </si>
  <si>
    <t xml:space="preserve">FERNANDO ANDRES ESCOBAR </t>
  </si>
  <si>
    <t>https://drive.google.com/drive/folders/1NjLOEezp7b9YRUvs5DHnJfEvzGbaTr5K?usp=sharing</t>
  </si>
  <si>
    <t xml:space="preserve">SARA JULIANA ARMESTO PAREDES </t>
  </si>
  <si>
    <t>https://drive.google.com/drive/folders/1yzzbTVvVdFc2MaIqFrNuGWjKo-a9JTZE?usp=sharing</t>
  </si>
  <si>
    <t>HABIB GUILLERMO MEJÍA</t>
  </si>
  <si>
    <t>https://drive.google.com/drive/folders/1m8BHhYeX226mBpqJksfy6RzrSuuk1yl9</t>
  </si>
  <si>
    <t>JUAN CAMILO OCHOA MARÍN</t>
  </si>
  <si>
    <t>https://drive.google.com/drive/folders/1Bmp5G0jJ4wspqoQnpHiL3QI37KBChVdh</t>
  </si>
  <si>
    <t>https://drive.google.com/drive/folders/1RQBfRYdZzXEYs-tGHykN4pt5FjItF8-Z</t>
  </si>
  <si>
    <t xml:space="preserve">ANDRÉS JOSÉ MORA ESQUIVEL </t>
  </si>
  <si>
    <t>EDGARDO DE JESÚS MONTES RODRIGUEZ</t>
  </si>
  <si>
    <t>https://drive.google.com/drive/folders/1_qzXJXkwfDIoRvW5jsV-0RHyQlOVsXuZ?usp=sharing</t>
  </si>
  <si>
    <t>INGRID CORINNE GENERA HERRERA</t>
  </si>
  <si>
    <t>https://drive.google.com/drive/folders/1zvQKHuv-ox3jeJxsQQ-MTRcV69Pq6UcB</t>
  </si>
  <si>
    <t>JAVIER FRANCISCO DURANGO CHICA</t>
  </si>
  <si>
    <t>https://drive.google.com/drive/folders/1ybyXigCKCKVuRd9FwMoXDtVzicMEqByp</t>
  </si>
  <si>
    <t>KAROL XIMENA CARLOSAMA MARTÍNEZ</t>
  </si>
  <si>
    <t>https://drive.google.com/drive/folders/1Dz9P5hbhDnUdf4eEGs79TCmLLpPC6Obp</t>
  </si>
  <si>
    <t xml:space="preserve">JANNY MARÍA ARBOLEDA </t>
  </si>
  <si>
    <t>https://drive.google.com/drive/folders/1pLDq_6PFol_V7tRouE7emLvUVi8oXbSk</t>
  </si>
  <si>
    <t xml:space="preserve">LUZ DARY NARVAEZ </t>
  </si>
  <si>
    <t>https://drive.google.com/drive/folders/1Pfuwbvfxilnc47_EKRXudTo9jF2_ACOT?usp=sharing</t>
  </si>
  <si>
    <t xml:space="preserve">MARIA CATHALINA ALCAZAR CARDOZO </t>
  </si>
  <si>
    <t>https://drive.google.com/drive/folders/1xVM0hNl9X1yPx9BzF1BUiuKkC9Qpn1n1?usp=sharing</t>
  </si>
  <si>
    <t xml:space="preserve">BRENDA MILENA LLOREDA PEDRAZA </t>
  </si>
  <si>
    <t>https://drive.google.com/drive/folders/1mMx7Uh4bO60CWG3fxuHFIpa9Q08pke9Q?usp=sharing</t>
  </si>
  <si>
    <t>CARLOS ALBERTO GUETE LÓPEZ</t>
  </si>
  <si>
    <t>https://drive.google.com/drive/folders/10Q0CbnOp9C3Te4WPXOxNyEmottDyF2oT?usp=sharing</t>
  </si>
  <si>
    <t xml:space="preserve">ADRIANA SUARES SANCHES </t>
  </si>
  <si>
    <t>https://drive.google.com/drive/folders/1ZUhkEzBO9r2GWZMR-xK6Ua7GNABFhf-P</t>
  </si>
  <si>
    <t>YARLYN  MARLEYXY BELTRAN PEREZ</t>
  </si>
  <si>
    <t>https://drive.google.com/drive/folders/1xX1LS87qVO686Ejdx36Y40Bdmukrex2I?usp=drive_link</t>
  </si>
  <si>
    <t>314 3460209</t>
  </si>
  <si>
    <t>GLORIA STELLA MUÑOZ</t>
  </si>
  <si>
    <t>https://drive.google.com/drive/folders/1hMYBNooI8WHAvYIEcdF6oJejOktWXeiA</t>
  </si>
  <si>
    <t xml:space="preserve">MILENA ROSMIRA GARCIA POVEDA </t>
  </si>
  <si>
    <t>https://drive.google.com/drive/folders/1pWASq793geybTh8u1VNFfQUFQx4ahTGS</t>
  </si>
  <si>
    <t>LAURA NATALIA PAZ HOYOS</t>
  </si>
  <si>
    <t>http://drive.google.com/drive/folders/1OiEUMruV0ctrd8H1cjY_eJJ7nLNa2k48</t>
  </si>
  <si>
    <t>315 3239643</t>
  </si>
  <si>
    <t>XIOMARA ALEXANDRA TORRES JIMENEZ</t>
  </si>
  <si>
    <t>LAURA ALEJANDRA NARANJO MORENO</t>
  </si>
  <si>
    <t>SEBASTIAN GABRIEL LAVERDE ANGULO</t>
  </si>
  <si>
    <t>https://drive.google.com/drive/folders/19bUPzc2r90Jn-m5vrRT8FMsDjNaZQHKy?usp=sharing</t>
  </si>
  <si>
    <t>FERNANDA BÁEZ ZAPATA</t>
  </si>
  <si>
    <t>https://drive.google.com/drive/folders/10s-8n3Jqq2Ou-7FCxuzBexwjz85umPDy?usp=sharing</t>
  </si>
  <si>
    <t>JUAN MANUEL GALVÁN</t>
  </si>
  <si>
    <t>https://drive.google.com/drive/folders/1rtbhI--gZGQhxV1prf-je0o9yrec8tWb?usp=sharing</t>
  </si>
  <si>
    <t>NUBIA YAMILE BENÍTEZ CASTRO</t>
  </si>
  <si>
    <t>https://drive.google.com/drive/folders/1Iqa6Kyw0DVI8HApOzvF_WHPDsaXgPcyi?usp=sharing</t>
  </si>
  <si>
    <t>ADRIANA MILENA VILLALBA GUALTERO</t>
  </si>
  <si>
    <t>https://drive.google.com/drive/folders/1APfwtV53Y6RV4h2IAOI-oXsFhSbYQpkr?usp=sharing</t>
  </si>
  <si>
    <t>DARWIN PUERTO MAHECHA</t>
  </si>
  <si>
    <t>https://drive.google.com/drive/folders/1ZTxxrbCP49fAUVUhUo9VZlFI4lZEmQuO?usp=sharing</t>
  </si>
  <si>
    <t>JANNER ANDRES PERAFAN SAMBONI</t>
  </si>
  <si>
    <t>https://drive.google.com/drive/folders/1_KdWNmRIUdtCkrNmZtfqdrBsh1NuuudE?usp=sharing</t>
  </si>
  <si>
    <t>LUIS ALBERTO MARIN MENDOZA</t>
  </si>
  <si>
    <t>https://drive.google.com/drive/folders/1xRgRtdgOQOVAd9Vgr8E2m8TF9-gMH6jm?usp=sharing</t>
  </si>
  <si>
    <t>ADRIANA JIMENEZ RUIZ</t>
  </si>
  <si>
    <t>https://drive.google.com/drive/folders/10KyOqh_JLc0vN0jnC0n6uLawa2qaFAfd?usp=sharing</t>
  </si>
  <si>
    <t>3014900339 - 3015731213</t>
  </si>
  <si>
    <t>LUIS ALBERTO TARAZONA PÉREZ</t>
  </si>
  <si>
    <t>https://drive.google.com/drive/folders/1r_r8yn8DEG6aKr0NGTDLjvHPndqOrWLZ?usp=sharing</t>
  </si>
  <si>
    <t>LENY SOFIA BELTRÁN DELGADO</t>
  </si>
  <si>
    <t>https://drive.google.com/drive/folders/1Mj1QshXamYDrTcHlUgcLT1hlKpPNuRFF</t>
  </si>
  <si>
    <t>MARIA KATERINE ZULUAGA ALZATE</t>
  </si>
  <si>
    <t>https://drive.google.com/drive/folders/1bb6X46KPsWebZpswh0UIRtghdsdiA-aT?usp=sharing</t>
  </si>
  <si>
    <t>MELISSA ANDREA MUÑOZ VERGARA</t>
  </si>
  <si>
    <t>https://drive.google.com/drive/folders/1gU3i4J3jZECf2DV2yKfPc5JQpT3AP8IV?usp=sharing</t>
  </si>
  <si>
    <t>3046531688 - 30017379996</t>
  </si>
  <si>
    <t>SANTIAGO JOSÉ RUBIANO RUÍZ</t>
  </si>
  <si>
    <t>https://drive.google.com/drive/folders/1DoaFY4upQDpE97Nj1uTsUWG89O0K4AZ0?usp=sharing</t>
  </si>
  <si>
    <t>GERMAN ANTONIO ARMENTA ZAPATA</t>
  </si>
  <si>
    <t>https://drive.google.com/drive/folders/1MDLN0lEfZ1cT_fRcLDIPo1cxEYmHslln?usp=sharing</t>
  </si>
  <si>
    <t>3224791104 - 3134175304</t>
  </si>
  <si>
    <t xml:space="preserve"> ALEX JOSE OSPINO SARMIENTO</t>
  </si>
  <si>
    <t>https://drive.google.com/drive/folders/1xbC-Kbe1Y7QM2IDFFGsMx7UDTyToI1eF?usp=sharing</t>
  </si>
  <si>
    <t>3157742677.</t>
  </si>
  <si>
    <t xml:space="preserve">HERWY PATERNINA </t>
  </si>
  <si>
    <t>https://drive.google.com/drive/folders/1xBjSQoRJiv44UJX9HsrWKbn3Id6ERcoi?usp=sharing</t>
  </si>
  <si>
    <t xml:space="preserve">KATTY JULIET PERTUZ ARNACHE </t>
  </si>
  <si>
    <t>https://drive.google.com/drive/folders/1Flqbi9bivSkGLLoRN3ddFWaTi1PYWSMF?usp=sharing</t>
  </si>
  <si>
    <t xml:space="preserve">OSCAR JAVIER POLO CERVANTE </t>
  </si>
  <si>
    <t>https://drive.google.com/drive/folders/1s76KtYpo9xkyKsphjMU_6cY-tYdHchLr?usp=sharing</t>
  </si>
  <si>
    <t>3008051714.</t>
  </si>
  <si>
    <t xml:space="preserve">ROBERTO CARLOS BRUN ROCHA </t>
  </si>
  <si>
    <t>https://drive.google.com/drive/folders/17eFSh9Lx-FmO-RFS8FWDZckrGM-OAWSa?usp=sharing</t>
  </si>
  <si>
    <t>FRANCISCO FRANCO LOMBANA ROSERO</t>
  </si>
  <si>
    <t>https://drive.google.com/drive/folders/1n2CGVdOw7ICQ-kXOcSUNjnnNpRrCRjrH?usp=sharing</t>
  </si>
  <si>
    <t xml:space="preserve">FRANCISCO OCHOA CAMERO </t>
  </si>
  <si>
    <t>https://drive.google.com/drive/folders/13ykc-YZ1ds1xvVw0JzLGcH1Svv3fPu1S?usp=sharing</t>
  </si>
  <si>
    <t>JOHNATHAN STEVEN PATARROYO BETANCOURT</t>
  </si>
  <si>
    <t>https://drive.google.com/drive/folders/1dlngNVJDe5z-0OiENC55EvYTebQ4xps4?usp=sharing</t>
  </si>
  <si>
    <t xml:space="preserve">ALEXIS ALVEAR GUERRERO </t>
  </si>
  <si>
    <t>https://drive.google.com/drive/folders/1NbDlQ2GSUYTpsP4AQXkc4bazmCrypJ2I?usp=sharing</t>
  </si>
  <si>
    <t xml:space="preserve">CARLOS MANUEL ALVEAR </t>
  </si>
  <si>
    <t>https://drive.google.com/drive/folders/1LQWOJ7vueZvlh35BlF9G9xuGXLc1Vpkj?usp=sharing</t>
  </si>
  <si>
    <t>OSMANI EMILSE OLIVOS GARCIA</t>
  </si>
  <si>
    <t>https://drive.google.com/drive/folders/1Al2v25rXs1qNWs8vCiezrTh2VJiBnFVj?usp=sharing</t>
  </si>
  <si>
    <t>LISETH VILLALBA MEJIA</t>
  </si>
  <si>
    <t>https://drive.google.com/drive/folders/1SshA35xRlHXdfmquKeBB5ShxtYpl1gab?usp=sharing</t>
  </si>
  <si>
    <t>LEIDY ZULEIMA SAAVEDRA ROJAS</t>
  </si>
  <si>
    <t>https://drive.google.com/drive/folders/18bRxCueGh_ejNiYr5mlFqfYlAHPspM64?usp=sharing</t>
  </si>
  <si>
    <t>OSCAR ANDRES VACCA CALDERON</t>
  </si>
  <si>
    <t>https://drive.google.com/drive/folders/1ICM-ljhMTlYBaXD5wxRYIbGYFZJopXZp?usp=sharing</t>
  </si>
  <si>
    <t>YENNY VIVIANA MONTENEGRO</t>
  </si>
  <si>
    <t>https://drive.google.com/drive/folders/1JN2TpwipDRCnblImIHOOi1SA66yIABAJ?usp=sharing</t>
  </si>
  <si>
    <t>300 6891366</t>
  </si>
  <si>
    <t>YENY PATRICIA ORTEGA ELVIRA</t>
  </si>
  <si>
    <t>https://drive.google.com/drive/folders/1ln-zWOqymaSKUhSSFiwJ2y3nGBgVgwX8?usp=sharing</t>
  </si>
  <si>
    <t xml:space="preserve">LEWIS FRANCISCO CALDERON FERNANDEZ </t>
  </si>
  <si>
    <t>https://drive.google.com/drive/folders/1vCQgauPL7Be8dBuynweAIcrZXQFp1fnH?usp=sharing</t>
  </si>
  <si>
    <t>Respuesta aprobación</t>
  </si>
  <si>
    <t>RCE_251230_1</t>
  </si>
  <si>
    <t>RCE_251231_2</t>
  </si>
  <si>
    <t>RCE_260102_3</t>
  </si>
  <si>
    <t>RCE_260102_4</t>
  </si>
  <si>
    <t>RCE_260102_5</t>
  </si>
  <si>
    <t>RCE_260105_7</t>
  </si>
  <si>
    <t>RCE_260106_9</t>
  </si>
  <si>
    <t>RCE_260102_3
RCE_260106_8
RCE_260106_9</t>
  </si>
  <si>
    <t>RCE_260106_8
RCE_260106_9</t>
  </si>
  <si>
    <t>RCE_260102_5
RCE_260106_9</t>
  </si>
  <si>
    <t>RCE_260106_10</t>
  </si>
  <si>
    <t>RCE_260107_11</t>
  </si>
  <si>
    <t>RCE_260102_3
RCE_260107_11</t>
  </si>
  <si>
    <t>RCE_260105_7
RCE_260109_12</t>
  </si>
  <si>
    <t>RCE_260109_12</t>
  </si>
  <si>
    <t>RCE_260106_9
RCE_260109_12</t>
  </si>
  <si>
    <t>RCE_260109_13</t>
  </si>
  <si>
    <t>RCE_260109_14 </t>
  </si>
  <si>
    <t>NO aprobados</t>
  </si>
  <si>
    <t>Profesional de logística y compra</t>
  </si>
  <si>
    <t>EQUIPO NACIONAL</t>
  </si>
  <si>
    <t>EQUIPO TÉCNICO TERRITORIAL</t>
  </si>
  <si>
    <t>EDUARD ENRIQUE CANO HERNANDEZ</t>
  </si>
  <si>
    <t>https://drive.google.com/drive/folders/1UkifqUz0H1Mw4PvtPxdpXG1KYNMYfoEE?usp=sharing</t>
  </si>
  <si>
    <t>RCE_260115_17</t>
  </si>
  <si>
    <t>RAÚL TOMSON SALAS BEYTAR</t>
  </si>
  <si>
    <t>https://drive.google.com/drive/folders/1mijS_f0STcB_ts1hwR62zyZrCiWxk_cn?usp=sharing</t>
  </si>
  <si>
    <t>ISIDRO RAFAEL PETIT MOLINA</t>
  </si>
  <si>
    <t>https://drive.google.com/drive/folders/15QE4_CfTDee0GxSOJn5yUegNpiyQ_lZ1?usp=sharing</t>
  </si>
  <si>
    <t>RCE_260115_16</t>
  </si>
  <si>
    <t>ANTHONY RONDON CAMACHO</t>
  </si>
  <si>
    <t>https://drive.google.com/drive/folders/1JFK2KpKtyA9Xyg44gFV4-Kdqo5F6nBuB?usp=sharing</t>
  </si>
  <si>
    <t>YADIRA LEYDA TOBÓN ARTEAGA</t>
  </si>
  <si>
    <t>https://drive.google.com/drive/folders/1yFKfg36LTLy2S_glOatNyTS5_VIZvAXF?usp=sharing</t>
  </si>
  <si>
    <t>RCE_260116_18</t>
  </si>
  <si>
    <t>JUAN SEBASTIÁN FLOMIN RIVERA</t>
  </si>
  <si>
    <t>https://drive.google.com/drive/folders/1mV0B8-ZamWW1Lqd_o7sZJiRSAno8SMW2?usp=sharing</t>
  </si>
  <si>
    <t>LEDY LUZ CONTRERAS CONTRERAS</t>
  </si>
  <si>
    <t>https://drive.google.com/drive/folders/1Tjc6vFUd1UvWtJSYrPjbbVijiGge8qUv?usp=sharing</t>
  </si>
  <si>
    <t>EMEL FRANCISCO CONSTANTE ORTEGA</t>
  </si>
  <si>
    <t>https://drive.google.com/drive/folders/1N8qkQSGKhSyFRt9jURH5KPNbEQP3LwMj?usp=sharing</t>
  </si>
  <si>
    <t>3215879724, 3016571863</t>
  </si>
  <si>
    <t>NATHALY JOHANA RIASCOS MAYA</t>
  </si>
  <si>
    <t>https://drive.google.com/drive/folders/197k9oFXOPt1kC-zJmxTCK8dty206kxyy?usp=sharing</t>
  </si>
  <si>
    <t>MANUEL DARIO CASTRO PINILLA</t>
  </si>
  <si>
    <t>https://drive.google.com/drive/folders/1DcHyPLTL9GlpwG2dlqHDCJg7vgFpRaus?usp=sharing</t>
  </si>
  <si>
    <t>317 368 4308</t>
  </si>
  <si>
    <t>NATALIA GÓMEZ HUERTAS</t>
  </si>
  <si>
    <t>https://drive.google.com/drive/folders/17jUvhJhkNTmYlM4cYwaYnPnOdQ2Y4S0v?usp=sharing</t>
  </si>
  <si>
    <t>316 433 20 27</t>
  </si>
  <si>
    <t>MIGUEL EDUARDO OLMOS DE LA ROSA</t>
  </si>
  <si>
    <t>https://drive.google.com/drive/folders/18ek6dQDyIPXEbEx8DbfjCdwIggyrvG7a?usp=sharing</t>
  </si>
  <si>
    <t>ANGELICA PEÑALOZA MARTINEZ</t>
  </si>
  <si>
    <t>https://drive.google.com/drive/folders/1lp0lQFoHpuYKopMGFzmfvk0Stk7qQjkW?usp=drive_link</t>
  </si>
  <si>
    <t>DIEGO ARMANDO OSPINA TOVAR.</t>
  </si>
  <si>
    <t>https://drive.google.com/drive/folders/1fb6jHqSQRZBiFvhH1cqLJZfFyg7iBxAK?usp=sharing</t>
  </si>
  <si>
    <t>WILMAR JAVIER FORERO URREGO</t>
  </si>
  <si>
    <t>https://drive.google.com/drive/folders/1Fzhb7SFuDe1cgsXj59TZrXQKAvs0YXRk?usp=sharing</t>
  </si>
  <si>
    <t>LOBSANG RAFAEL ZAPATA</t>
  </si>
  <si>
    <t>https://drive.google.com/drive/folders/1K2H-IqqrJ6tzxHhJ9vjU6-NJxrSvpAmi?usp=sharing</t>
  </si>
  <si>
    <t>MONICA SANCHEZ YAYA</t>
  </si>
  <si>
    <t>https://drive.google.com/drive/folders/19KczPXIQwkfXcC9GLMAwqPHVy0WhtdJN?usp=sharing</t>
  </si>
  <si>
    <t>310 2862514</t>
  </si>
  <si>
    <t>OSCAR FERNANDO CUBILLOS</t>
  </si>
  <si>
    <t>https://drive.google.com/drive/folders/1spy83z2g04ypXRk2x5pNRt1Zs-nuIwd6?usp=sharing</t>
  </si>
  <si>
    <t>JOHANNA PAOLA ARRAUTH ACOSTA</t>
  </si>
  <si>
    <t>https://drive.google.com/drive/folders/1QUoO9PYo3hBaoF8B-G3QOZEXbMJAN0ft?usp=sharing</t>
  </si>
  <si>
    <t>https://drive.google.com/drive/folders/1Yhp8gHFhJfm_RQifJECKCmaIAXkBhSmm?usp=sharing</t>
  </si>
  <si>
    <t>315-8692810</t>
  </si>
  <si>
    <t>RAFAEL ENRIQUE ARRAZOLA BEDOYA</t>
  </si>
  <si>
    <t>https://drive.google.com/drive/folders/10ZE1mJe7e2AUkuSKh6irra4fygr-MIO_?usp=sharing</t>
  </si>
  <si>
    <t>ANDRES ARCE LOPEZ</t>
  </si>
  <si>
    <t>https://drive.google.com/drive/folders/1SE6rNV8zP7ssl9-jrAyv4DYLkKEgutHH?usp=sharing</t>
  </si>
  <si>
    <t>RCE_260114_15</t>
  </si>
  <si>
    <t>MARIA DIANNI PALACIOS PALACIOS</t>
  </si>
  <si>
    <t>https://drive.google.com/drive/folders/1kZjMbfgQo_bShyrvGVsYnATvUp59X6ae?usp=sharing</t>
  </si>
  <si>
    <t>LUIS CARLOS SALAZAR PRIETO</t>
  </si>
  <si>
    <t>https://drive.google.com/drive/folders/1CchvEntYpHCRU0md6u_3eJYIfbsAuuiw?usp=sharing</t>
  </si>
  <si>
    <t>https://drive.google.com/drive/folders/1z2W7PtHwJBpPPShxmMhspaNp70jgw1Wr?usp=sharing</t>
  </si>
  <si>
    <t>3143000442 - 3222688388</t>
  </si>
  <si>
    <t>YENECY CORDOBA VALOYES</t>
  </si>
  <si>
    <t>https://drive.google.com/drive/folders/1ZDKcOcj0MvJJBvmGuPAHjuHCcvUdAYo7?usp=sharing</t>
  </si>
  <si>
    <t>YANINFA MENA PALACIOS</t>
  </si>
  <si>
    <t>https://drive.google.com/drive/folders/1a60CwOA7OAXE_z5DA2Y5gtnjZcL6RLHN?usp=sharing</t>
  </si>
  <si>
    <t>Lina Paola Quintero Cuadros</t>
  </si>
  <si>
    <t>https://drive.google.com/drive/folders/1gin_M_PrYMjw0MsNVPUbyFX6XAyAvQQ6?usp=sharing</t>
  </si>
  <si>
    <t>LUISA MARIA QUINAYAS</t>
  </si>
  <si>
    <t>https://drive.google.com/drive/folders/1Z61XQ44UIVJsHinAnnpl4vY_5e9WQf0j?usp=sharing</t>
  </si>
  <si>
    <t>316 506 2284</t>
  </si>
  <si>
    <t>Olgamilena Jaramillo León</t>
  </si>
  <si>
    <t>https://drive.google.com/drive/folders/1IQYrSdQ8at8U3kmPxq_Ka-B2hfRo1qfe?usp=sharing</t>
  </si>
  <si>
    <t>320 4152413</t>
  </si>
  <si>
    <t>OSCARINA LACOUTURE SALINAS</t>
  </si>
  <si>
    <t>https://drive.google.com/drive/folders/1S9NTU2QVXZ25MYFB_CvrcISe3mpYabKo?usp=sharing</t>
  </si>
  <si>
    <t>DIEGO FERNANDO VALENCIA TAPIA</t>
  </si>
  <si>
    <t>https://drive.google.com/drive/folders/1CggotkGNp7t-ouHphvhOCRug_t8xz3iz?usp=sharing</t>
  </si>
  <si>
    <t>https://drive.google.com/drive/folders/1ST-puknM5h51OZBZ9rY1vaY3OLhGW9C9?usp=sharing</t>
  </si>
  <si>
    <t>KEVIN ALIR SANCHEZ GÓNGORA</t>
  </si>
  <si>
    <t>https://drive.google.com/drive/folders/1ZEd12UffBIbkep9NtU1TuipWGYX-UM0V?usp=sharing</t>
  </si>
  <si>
    <t>3178453574 / 3162233040</t>
  </si>
  <si>
    <t>KEYLA YINETH ROBLES QUIENTERO</t>
  </si>
  <si>
    <t>https://drive.google.com/drive/folders/1oxobozdZ7fO2sq6VIZqFMr1kWnmhtqZZ?usp=sharing</t>
  </si>
  <si>
    <t>https://drive.google.com/drive/folders/13XNuAW1eKb85Ad7nBGXDwbiuR5cnwrGA?usp=sharing</t>
  </si>
  <si>
    <t>YESSICA PAOLA MARTINEZ COCA</t>
  </si>
  <si>
    <t>https://drive.google.com/drive/folders/1rLm7udOqsN79qDVVPHs2j0YOPT79GoNM?usp=sharing</t>
  </si>
  <si>
    <t>ROBERTO SALGADO LUGO</t>
  </si>
  <si>
    <t>DANNY DANIEL MARTINEZ TORRES</t>
  </si>
  <si>
    <t>Profesional Tallerista</t>
  </si>
  <si>
    <t>Fecha de envío a Prosperidad</t>
  </si>
  <si>
    <t>CARLOS EDUARDO ROMERO GUZMÁN</t>
  </si>
  <si>
    <t>DIANA MARÍA VARGAS MOLANO</t>
  </si>
  <si>
    <t>HUGO NOGUERA ARIAS</t>
  </si>
  <si>
    <t>ÁLVARO MEDINA BUITRAGO</t>
  </si>
  <si>
    <t>MARÍA CONSUELO MADARIAGA PRADO</t>
  </si>
  <si>
    <t>MARILUZ AYALA HERNÁNDEZ</t>
  </si>
  <si>
    <t>LAURA VALENTINA VILLABÓN SIERRA</t>
  </si>
  <si>
    <t>VANESSA QUIÑÓNEZ DUARTE</t>
  </si>
  <si>
    <t>PAULA DANIELA CALVO FLORES</t>
  </si>
  <si>
    <t>PAULA ANDREA SOLÍS URIBE</t>
  </si>
  <si>
    <t>JENNY VANESA MUÑOZ MOSCOSO</t>
  </si>
  <si>
    <t>ADRIANA XIMENA RODRÍGUEZ MORENO</t>
  </si>
  <si>
    <t>RCE_260119_20</t>
  </si>
  <si>
    <t>RCE_260116_19</t>
  </si>
  <si>
    <t>Región</t>
  </si>
  <si>
    <t>Coordinador General Regional</t>
  </si>
  <si>
    <t>https://drive.google.com/drive/folders/1wkuG_IaL6dZUALzdLrvkNvCB9vJ6Y_l5?usp=sharing</t>
  </si>
  <si>
    <t>Perfil Cumple Gestor y Coordinador local</t>
  </si>
  <si>
    <t>Perfil cumple tb Técnico administrativo regional de apoyo</t>
  </si>
  <si>
    <t>https://drive.google.com/drive/folders/14w8NP9cikTxjhKWsotmoTvXwmNNb_p37?usp=sharing</t>
  </si>
  <si>
    <t>https://drive.google.com/drive/folders/1jZEMzm036QESPqhLcDLl-jCrAUwt0-Ta?usp=sharing</t>
  </si>
  <si>
    <t>https://drive.google.com/drive/folders/13pXHR5KGUY9p6_Y0knqZOS2aTVQ8ZoYM?usp=sharing</t>
  </si>
  <si>
    <t>https://drive.google.com/drive/folders/1NE6ISPVeNv7BtNXHlGtPALC-ftgoOwcf?usp=sharing</t>
  </si>
  <si>
    <t>https://drive.google.com/drive/folders/1Vt9aty3BhJrWdcgwi59D-62Zh7gCRcKS?usp=sharing</t>
  </si>
  <si>
    <t>https://drive.google.com/drive/folders/1pVIY1xG2muWKbNpEsrrHQee1KEAzdaQC?usp=sharing</t>
  </si>
  <si>
    <t>https://drive.google.com/drive/folders/1mHg7O-Obc_lN4Om9KrshZkT0ZDrzQJ9l?usp=sharing</t>
  </si>
  <si>
    <t>https://drive.google.com/drive/folders/11w7dC-oITo0Ji-os7IwVFLpy9Q5Cfgn-?usp=sharing</t>
  </si>
  <si>
    <t>Avance HV</t>
  </si>
  <si>
    <t>Meta Anexo Técnico</t>
  </si>
  <si>
    <t>Equipo Nacional</t>
  </si>
  <si>
    <t>Profesional de Seguimiento e Información</t>
  </si>
  <si>
    <t xml:space="preserve">Profesional de Alianzas y Conexión a Mercados </t>
  </si>
  <si>
    <t>Profesional Administrativo y Financiero</t>
  </si>
  <si>
    <t>Técnico Administrativo Regional de Apoyo</t>
  </si>
  <si>
    <t>Profesional de Logística y Compra</t>
  </si>
  <si>
    <t>HV No Aprobadas</t>
  </si>
  <si>
    <t>TOTAL HV APROBADAS</t>
  </si>
  <si>
    <t>Anexo Técnico</t>
  </si>
  <si>
    <t>Coordinador Local Regional</t>
  </si>
  <si>
    <t>Equipo Técnico Territorial</t>
  </si>
  <si>
    <t>Aprobación</t>
  </si>
  <si>
    <t>Equipo Nacional/Regional</t>
  </si>
  <si>
    <t>HV Aprobadas Interventoría- Enviadas Prosperidad</t>
  </si>
  <si>
    <t>https://drive.google.com/drive/folders/1ibgdYOVlDtxR8f8HT_hN1PoFZ308uBPr?usp=sharing</t>
  </si>
  <si>
    <t>https://drive.google.com/drive/folders/1V836DZWAX38NEtJaZ7rSnXNtDJbobxIY</t>
  </si>
  <si>
    <t>https://drive.google.com/drive/folders/1drYIDHaLtvb_I4siU9kVJi1dwZ-3EahP?usp=sharing</t>
  </si>
  <si>
    <t>RCE_260121_23</t>
  </si>
  <si>
    <t>DANIEL ALEJANDRO GÓMEZ DURAN</t>
  </si>
  <si>
    <t>https://drive.google.com/drive/folders/1yHZGCzt0N1OdAL7o8RsdBdssyZeN_XvG?usp=sharing</t>
  </si>
  <si>
    <t>https://drive.google.com/drive/folders/10hqCytxwe6NHmVFjttKN9S39XOxbhHg8?usp=sharing</t>
  </si>
  <si>
    <t>FABIÁN ALBERTO ZÚÑIGA ORTIZ</t>
  </si>
  <si>
    <t>https://drive.google.com/drive/folders/1t2RI2zesB8eIXG53G8Psg8OUOFbP8Af6?usp=sharing</t>
  </si>
  <si>
    <t>317 642 2944</t>
  </si>
  <si>
    <t>https://drive.google.com/drive/folders/1NMyOnTz215g7u236XuVqzcFRTUKjTr4m?usp=sharing</t>
  </si>
  <si>
    <t>https://drive.google.com/drive/folders/1yicYjDvOcqFAZALiB9NgTgTy4aqCvEZr?usp=sharing</t>
  </si>
  <si>
    <t>310 362 4086</t>
  </si>
  <si>
    <t>RCE_260121_24</t>
  </si>
  <si>
    <t>https://drive.google.com/drive/folders/1WZw28ECQ7kYfahgkXPPRLa3HfNa_s4GS?usp=sharing</t>
  </si>
  <si>
    <t>315 353 4838</t>
  </si>
  <si>
    <t>https://drive.google.com/drive/folders/1HenCGGjdcaIrqfHWX_Khud1sLlYPuT8w?usp=sharing</t>
  </si>
  <si>
    <t>310 540 4103</t>
  </si>
  <si>
    <t>https://drive.google.com/drive/folders/1_ioRfZpMSF-flH0xj5m5ENPAxoJDsZkV?usp=sharing</t>
  </si>
  <si>
    <t>316 635 5904</t>
  </si>
  <si>
    <t>https://drive.google.com/drive/folders/1734J8L05IXDf81nE90hfvDIKl4m5z7nD?usp=sharing</t>
  </si>
  <si>
    <t>318 528 6727</t>
  </si>
  <si>
    <t>https://drive.google.com/drive/folders/1w0aw2_ACfCsQJcXpfXvZe6x5-CfsHzhk?usp=sharing</t>
  </si>
  <si>
    <t>315 728 5678</t>
  </si>
  <si>
    <t>https://drive.google.com/drive/folders/1Ar6pY8SwUfamipg1xBZqQG4dQ7sxcDJj?usp=sharing</t>
  </si>
  <si>
    <t>https://drive.google.com/drive/folders/1SNtEM4GCzL_h3r_mbXVDjsCDIEX7l7A2?usp=sharing</t>
  </si>
  <si>
    <t>DIEGO FERNANDO FERREIRA CADAVID</t>
  </si>
  <si>
    <t>https://drive.google.com/drive/folders/1Ac_r1mK2nR98Zp9htuRmXGasD5_0w2Xl?usp=sharing</t>
  </si>
  <si>
    <t>310-422-0340</t>
  </si>
  <si>
    <t>JUAN CARLOS APONTE SILVA</t>
  </si>
  <si>
    <t>https://drive.google.com/drive/folders/19ava860QkT6u4zQpws53rP7Kq7hBwSfK?usp=sharing</t>
  </si>
  <si>
    <t>321-2326570</t>
  </si>
  <si>
    <t>https://drive.google.com/drive/folders/1WvX3tMByIFm3tKITnynUYjEMo8JEVV-u?usp=sharing</t>
  </si>
  <si>
    <t>JEFFERSON EDUARDO GALLARDO PARADA</t>
  </si>
  <si>
    <t>https://drive.google.com/drive/folders/1VTDyKIQXJUC39dIDwMr0PaFVPnwQZWsK?usp=sharing</t>
  </si>
  <si>
    <t>GILMA ZOBEIDA DUMAR DIAZ</t>
  </si>
  <si>
    <t>https://drive.google.com/drive/folders/17Y7nrc_IBiktiUi2xOZA6H4nWyR4FdkF?usp=sharing</t>
  </si>
  <si>
    <t>https://drive.google.com/drive/folders/1_lwOJEslx2n00-29vOQ_nRZxSLe8qRAc?usp=sharing</t>
  </si>
  <si>
    <t>https://drive.google.com/drive/folders/1hZnYldyjISOKbI5EFlVlzR_y7Cf5dZPd?usp=sharing</t>
  </si>
  <si>
    <t>https://drive.google.com/drive/folders/1TC5xo3s09i2DRJ_6RRkCEMzIyexTyjMG?usp=sharing</t>
  </si>
  <si>
    <t>315-5620935</t>
  </si>
  <si>
    <t>CATHERINE SOLER ROMERO</t>
  </si>
  <si>
    <t>https://drive.google.com/drive/folders/1-a_5Kb9ed3TxsmfgYW3HGsxSBkAUDzJr?usp=sharing</t>
  </si>
  <si>
    <t>NATALY RIVERA ROA</t>
  </si>
  <si>
    <t>https://drive.google.com/drive/folders/1j2kFMoqOaj2ecFug-p00OysJU6E6vNQh?usp=sharing</t>
  </si>
  <si>
    <t>DIANA MARCELA CÉSPEDES MOTTA</t>
  </si>
  <si>
    <t>https://drive.google.com/drive/folders/1rxvORWQizwGdFTMtLMU06LOPUDVI6y1I?usp=sharing</t>
  </si>
  <si>
    <t>https://drive.google.com/drive/folders/14Sj65Scz5ooeaB0YE5CczWBAGXnsMhBj?usp=sharing</t>
  </si>
  <si>
    <t>350 803 27 64</t>
  </si>
  <si>
    <t>https://drive.google.com/drive/folders/1tl47P0vg_E-O0k9zAQHYZqvsahfp2K0x?usp=sharing</t>
  </si>
  <si>
    <t xml:space="preserve">RCE_260106_8
</t>
  </si>
  <si>
    <t>HELBERTH YAIR BABATIVA RODRIGUEZ</t>
  </si>
  <si>
    <t>https://drive.google.com/drive/folders/1VNX2dICSN_hTQUckuZtEBm0VlZUdzs5C?usp=sharing</t>
  </si>
  <si>
    <t>3112168399- 3108578185</t>
  </si>
  <si>
    <t>RCE_260122_28</t>
  </si>
  <si>
    <t>RAMIRO PULIDO GUZMAN</t>
  </si>
  <si>
    <t>https://drive.google.com/drive/folders/16TkYptGiiEdeg0xQGpW5YVum9MIioJPU?usp=sharing</t>
  </si>
  <si>
    <t>320 489 8169</t>
  </si>
  <si>
    <t xml:space="preserve">RCE_260115_17
RCE_260121_24
</t>
  </si>
  <si>
    <t>MARIBEL BARAJAS ORTIZ</t>
  </si>
  <si>
    <t>https://drive.google.com/drive/folders/12Tp5QilWeNDssUEs0YKBX1wZpUGIVqMO?usp=sharing</t>
  </si>
  <si>
    <t>RCE_260122_30</t>
  </si>
  <si>
    <t>https://drive.google.com/drive/folders/12JczFLxCH0uL_Z5yczdbpmbeP_Tb6wvj?usp=sharing</t>
  </si>
  <si>
    <t>JULLY KATHERINE MENDEZ CLAVIJO</t>
  </si>
  <si>
    <t>https://drive.google.com/drive/folders/1XCwuM8fu8KOnLpeyvDSObFW8FNBcKIzv?usp=sharing</t>
  </si>
  <si>
    <t>ELIANA LIZETH MEDINA RIOS</t>
  </si>
  <si>
    <t>https://drive.google.com/drive/folders/1YLFmEFO7TaNgwMIkpDPIQawhkSHH8dRb?usp=sharing</t>
  </si>
  <si>
    <t>RCE_260102_3
RCE_260115_16</t>
  </si>
  <si>
    <t>https://drive.google.com/drive/folders/1K47S0sFXGR6TGVGNizS3lkGYNf3vo67j?usp=sharing</t>
  </si>
  <si>
    <t>315 827 9280</t>
  </si>
  <si>
    <t>RCE_260102_5 
RCE_260106_9 
RCE_260116_18</t>
  </si>
  <si>
    <t>RCE_260109_13 
RCE_260116_18</t>
  </si>
  <si>
    <t>RCE_260102_5 
RCE_260116_18</t>
  </si>
  <si>
    <t>https://drive.google.com/drive/folders/1ZqsfOdsr4T_wj8xuPymkh39bygCXrl5U?usp=sharing</t>
  </si>
  <si>
    <t>311 616 2115</t>
  </si>
  <si>
    <t>RCE_260120_22</t>
  </si>
  <si>
    <t>https://drive.google.com/drive/folders/1y-iIlpo2Ge6O7a3bUvNNJhG_8iKCUT3P?usp=sharing</t>
  </si>
  <si>
    <t>RCE_260120_21</t>
  </si>
  <si>
    <t>RCE_260102_4
RCE_260119_20</t>
  </si>
  <si>
    <t>https://drive.google.com/drive/folders/19s8g9p2hYcNWlvYE7VuOLU7TE6QcgOJR?usp=sharing</t>
  </si>
  <si>
    <t>310 866 96 62</t>
  </si>
  <si>
    <t>https://drive.google.com/drive/folders/1rVCDBjozehf_3yS_wjmGS9iuzaxtbDc8?usp=sharing</t>
  </si>
  <si>
    <t>301 441 9205</t>
  </si>
  <si>
    <t>https://drive.google.com/drive/folders/1ZiIfCQr09G2bMMIuGRTejs3DN4tmrQRR?usp=sharing</t>
  </si>
  <si>
    <t>305799 5602</t>
  </si>
  <si>
    <t>RCE_260122_29</t>
  </si>
  <si>
    <t>https://drive.google.com/drive/folders/16Oz7yD7yE8cVYx15Ukh95b7Uhy383Z21?usp=sharing</t>
  </si>
  <si>
    <t>https://drive.google.com/drive/folders/1cYibtFy0K-hSFJ8oYebthIzzPdy1LqwB?usp=sharing</t>
  </si>
  <si>
    <t>https://drive.google.com/drive/folders/13jCsqqFjRPC6-4aV2cxh5m9CH1EX-hFB?usp=sharing</t>
  </si>
  <si>
    <t>https://drive.google.com/drive/folders/1g5TftoMXFskf_0fLxxWXLVUJhVKRozan?usp=sharing</t>
  </si>
  <si>
    <t>https://drive.google.com/drive/folders/1OKzDzhvd9yMUIBTRarC4BBNY5wXckCtY?usp=sharing</t>
  </si>
  <si>
    <t>311 605 98 05</t>
  </si>
  <si>
    <t>https://drive.google.com/drive/folders/1ff4riutPxMhOQ-pzcfhXvX0ks5PNe4Wd?usp=sharing</t>
  </si>
  <si>
    <t>319 510 7128</t>
  </si>
  <si>
    <t>https://drive.google.com/drive/folders/1nChymlT0GBS-P7_pxKGGAspbZjM0iCUN?usp=sharing</t>
  </si>
  <si>
    <t>305 795 9920</t>
  </si>
  <si>
    <t>https://drive.google.com/drive/folders/1SswyEfSQzU17vP4DUYJUCSzro_c853Wd?usp=sharing</t>
  </si>
  <si>
    <t>https://drive.google.com/drive/folders/12R-NW5E-tdnmvX8kWTeczS919zL_VWma?usp=sharing</t>
  </si>
  <si>
    <t>321 361 6664</t>
  </si>
  <si>
    <t>https://drive.google.com/drive/folders/15mMB7dHZpnySZWPqcmtO5_tDJ1N6cDUQ?usp=sharing</t>
  </si>
  <si>
    <t>300 512 9020</t>
  </si>
  <si>
    <t>https://drive.google.com/drive/folders/1TSAh1UBLPIuMFmaeAj2ZpQxdnqOT6qBU?usp=sharing</t>
  </si>
  <si>
    <t>https://drive.google.com/drive/folders/1axDWBwJDe3lb8O698LuW54Mk3epQtSrA?usp=sharing</t>
  </si>
  <si>
    <t>https://drive.google.com/drive/folders/1F9kDVFDVdJZT-MjY_IjN6vsAINvozaio?usp=sharing</t>
  </si>
  <si>
    <t>https://drive.google.com/drive/folders/1JhFE5C2rVGWozGt-91VselC87GIHEz-f?usp=sharing</t>
  </si>
  <si>
    <t>https://drive.google.com/drive/folders/1onMb-79x1wPAW4jDGu5YovkdUm8_3KSu?usp=sharing</t>
  </si>
  <si>
    <t>https://drive.google.com/drive/folders/1_BF92q01BfETRlYPlIjFrbICXUkDN_nr?usp=sharing</t>
  </si>
  <si>
    <t>313 334 32 33</t>
  </si>
  <si>
    <t>https://drive.google.com/drive/folders/1SQ2Pz2r0CHN-kmCx24z3RlcpwOvjpl0d?usp=sharing</t>
  </si>
  <si>
    <t>311 232 2517</t>
  </si>
  <si>
    <t>https://drive.google.com/drive/folders/1lwMvlsVKaPMz3bT6-sdLS1L51BUDggys?usp=sharing</t>
  </si>
  <si>
    <t>311 609 41 44</t>
  </si>
  <si>
    <t>JUAN JOSE LONDOÑO LONDOÑO</t>
  </si>
  <si>
    <t>https://drive.google.com/drive/folders/1_LnDa0c2aUzFHAA0wbMUxqUmZ5J_p4ZV?usp=sharing</t>
  </si>
  <si>
    <t>317 402 1724</t>
  </si>
  <si>
    <t>RCE_260122_27</t>
  </si>
  <si>
    <t>MAURO FABIAN SALAZAR BUITRAGO</t>
  </si>
  <si>
    <t>https://drive.google.com/drive/folders/1WQ_E4AOWWWipWPGKAEAm0B_MkmQNAsr6?usp=sharing</t>
  </si>
  <si>
    <t>320 342 0963</t>
  </si>
  <si>
    <t>BLADIMIR NARVAEZ CABRERA</t>
  </si>
  <si>
    <t>https://drive.google.com/drive/folders/1snvG9Kl_6oTfQDBm0bqGPToJ2Y6__ueJ?usp=sharing</t>
  </si>
  <si>
    <t>3214250684 - 3214874834</t>
  </si>
  <si>
    <t>PAOLA ANDREA GARCIA BELALCAZAR</t>
  </si>
  <si>
    <t>https://drive.google.com/drive/folders/1wBf5OmfSGkA_J_PMPKlfyQTJUL6Wbkxo?usp=sharing</t>
  </si>
  <si>
    <t>RCE_260122_26</t>
  </si>
  <si>
    <t>CAROLINA ANDREA REY RIVERA</t>
  </si>
  <si>
    <t>https://drive.google.com/drive/folders/16Vpvdjr-fou8zRob4e5sdsTZp6IJ-TS9?usp=sharing</t>
  </si>
  <si>
    <t>EDER LUIS VILLERA ARAUJO</t>
  </si>
  <si>
    <t>https://drive.google.com/drive/folders/1XwoC0FsYcqsyhPo_xGT3kC5quVfQ6uqf?usp=sharing</t>
  </si>
  <si>
    <t>3114263266-3135801423</t>
  </si>
  <si>
    <t>ALEJAJANDRO SERRANO AGUDELO</t>
  </si>
  <si>
    <t>https://drive.google.com/drive/folders/1HuNkxMHezgyzVZR-EYRaSvny5j4Pv0dz?usp=sharing</t>
  </si>
  <si>
    <t>300 485 1573</t>
  </si>
  <si>
    <t>YILMER MANUEL LONDOÑO HERNANDEZ</t>
  </si>
  <si>
    <t>https://drive.google.com/drive/folders/1SDmt5WUsmZJMzhp9ipQm2t6hwRRO2Avf?usp=sharing</t>
  </si>
  <si>
    <t>316 211 45 18</t>
  </si>
  <si>
    <t>YINSON JAVIER DÍAZ GÓMEZ</t>
  </si>
  <si>
    <t>https://drive.google.com/drive/folders/1zdElZUYxWN0mL7gW0T7f8FGKOycgu-qC?usp=sharing</t>
  </si>
  <si>
    <t>322 305 4018</t>
  </si>
  <si>
    <t>MIGUEL ÁNGEL MACÍAS ÁLVAREZ</t>
  </si>
  <si>
    <t>https://drive.google.com/drive/folders/1z9SYjgA7p5msYUM2uI-H8MB2Kcgjat-I?usp=sharing</t>
  </si>
  <si>
    <t>JOSÉ GABRIEL CAMPUZANO ESCOBAR</t>
  </si>
  <si>
    <t>https://drive.google.com/drive/folders/1RZ4aStXKCgKYMUgX90dOmrsTy_MHZojd?usp=sharing</t>
  </si>
  <si>
    <t>MELISSA INES BLANCO TORRES</t>
  </si>
  <si>
    <t>https://drive.google.com/drive/folders/1Zwss3-TpL8H2N66StWIt3-5MEq_8Y456?usp=sharing</t>
  </si>
  <si>
    <t>305- 459-2092</t>
  </si>
  <si>
    <t>10/01/2026
19/01/2026</t>
  </si>
  <si>
    <t>RCE_260102_3
RCE_260115_16 
RCE_260121_23</t>
  </si>
  <si>
    <t>7/01/2026 
10/01/2026</t>
  </si>
  <si>
    <t>RCE_260109_12
RCE_260115_16</t>
  </si>
  <si>
    <t>IVONNE ANDREA BAUTISTA DÍAZ</t>
  </si>
  <si>
    <t>ANDRÉS RAMIRO COTES ROBAYO</t>
  </si>
  <si>
    <t>DANIEL MAURICIO GUASGÜITA MORENO</t>
  </si>
  <si>
    <t>DENNISSE PAOLA TULCÁN PUENTES</t>
  </si>
  <si>
    <t>MAGDA ZULAY AZABACHE NIETO</t>
  </si>
  <si>
    <t>FIDEL NAVARRO GUTIÉRREZ</t>
  </si>
  <si>
    <t xml:space="preserve">IVONNE KATHERINE LUGO GARZÓN </t>
  </si>
  <si>
    <t>JUDITH DEL CARMEN ZUBIRIA PÉREZ</t>
  </si>
  <si>
    <t>CYNTHIA ANGULO ARROYO</t>
  </si>
  <si>
    <t>ALDO ALEXANDER FERNÁNDEZ VARELA</t>
  </si>
  <si>
    <t>ANDRÉS FABIÁN PINTA RODRÍGUEZ</t>
  </si>
  <si>
    <t>JAIME ANDRÉS DUARTE GARCÍA</t>
  </si>
  <si>
    <t>LEIDY YOHANA MORA GUERRERO</t>
  </si>
  <si>
    <t>ANGIE CATHERINE COLLAZOS VALENZUELA</t>
  </si>
  <si>
    <t>ANGIE YISEL ZULUAGA BERNA</t>
  </si>
  <si>
    <t>DAILER MONTOYA DÍAZ</t>
  </si>
  <si>
    <t>ANDRÉS LEONARDO VALCERO AGUDELO</t>
  </si>
  <si>
    <t>WINSTON SAÚL MADERO CELIS</t>
  </si>
  <si>
    <t>JESÚS HUMBERTO GUZMÁN SANTAMARIA</t>
  </si>
  <si>
    <t xml:space="preserve">CARLOS ÁNGEL VELÁSQUEZ INCA </t>
  </si>
  <si>
    <t xml:space="preserve">CARLOS MAURICIO MOSQUERA CHARRY </t>
  </si>
  <si>
    <t xml:space="preserve">JOSÉ HUGO MUÑOZ BURBANO </t>
  </si>
  <si>
    <t xml:space="preserve">LEYDER JULIÁN MORA ROJAS </t>
  </si>
  <si>
    <t xml:space="preserve">NIDIA SÁNCHEZ TRIGOS </t>
  </si>
  <si>
    <t xml:space="preserve">LUIS CARLOS BONILLA CASSO </t>
  </si>
  <si>
    <t xml:space="preserve">OSCAR DÍAZ ACOSTA </t>
  </si>
  <si>
    <t xml:space="preserve">EDER MAURICIO RÁQUIRA GARCÍA </t>
  </si>
  <si>
    <t xml:space="preserve">JAIDER LUIS BARRERA PEREIRA </t>
  </si>
  <si>
    <t xml:space="preserve">JHON FREDDY MEJÍA ROJAS </t>
  </si>
  <si>
    <t>DAVID ENRIQUE MONTAÑO GÓMEZ</t>
  </si>
  <si>
    <t xml:space="preserve">ASTRYD CAROLINA ORDOÑEZ ERAZO </t>
  </si>
  <si>
    <t>DEISY VIVIANA ARÉVALO SOTELO</t>
  </si>
  <si>
    <t>CINDY GISELLA SARAZO MARTÍNEZ</t>
  </si>
  <si>
    <t>CARLOS ANDRÉS OLAYA URUEÑA</t>
  </si>
  <si>
    <t>DANIEL FERNANDO ARCILA ROJAS</t>
  </si>
  <si>
    <t>DIEGO FELIPE CAJIAO ROSERO</t>
  </si>
  <si>
    <t>NELCY YANETH MORA MENDIETA</t>
  </si>
  <si>
    <t>GALAXYS CORPUS ARRIETA</t>
  </si>
  <si>
    <t>JULIÁN ANDRÉS CERÓN BOTINA</t>
  </si>
  <si>
    <t xml:space="preserve">JENNIFER CAROLINA VARGAS BOLAÑOS </t>
  </si>
  <si>
    <t xml:space="preserve">JORS PALACIO RÍOS </t>
  </si>
  <si>
    <t xml:space="preserve">MARCO TULIO RUIZ DAZA </t>
  </si>
  <si>
    <t>MARÍA ALEJANDRA GÓMEZ UYABÁN</t>
  </si>
  <si>
    <t xml:space="preserve">LUIS DAVID ARANGO BETANCUR </t>
  </si>
  <si>
    <t>https://drive.google.com/drive/folders/12cAy1pgg7lOCIlgQi4av7cqL5zjGFY78?usp=sharing</t>
  </si>
  <si>
    <t>RCE_260126_31</t>
  </si>
  <si>
    <t>https://drive.google.com/drive/folders/1pqGrIPvi8rF2VWt1bNhCiAsskOvhqHxQ?usp=sharing</t>
  </si>
  <si>
    <t>ANDRÉS MAURICIO CAMACHO MONTEALEGRE</t>
  </si>
  <si>
    <t>https://drive.google.com/drive/folders/1_kmvYs61oj8yc7yskMMk2DASUB9rgMM3?usp=sharing</t>
  </si>
  <si>
    <t>https://drive.google.com/drive/folders/1PFnkoQnFeGuyQ_yH4REXctDwmlx1KcRt?usp=sharing</t>
  </si>
  <si>
    <t>https://drive.google.com/drive/folders/1pAWEtcSd1JNHK93lsC2sf6KBSA2v3b_l?usp=sharing</t>
  </si>
  <si>
    <t>ADRIANA SERRATO MORALES</t>
  </si>
  <si>
    <t>https://drive.google.com/drive/folders/1gcgiqdlMTNmATzewIcifQmYuL7SX5Acc?usp=sharing</t>
  </si>
  <si>
    <t>https://drive.google.com/drive/folders/1yBPqBv5YIhR6HtfXZnPBYcFKFn6moCqN?usp=sharing</t>
  </si>
  <si>
    <t>https://drive.google.com/drive/folders/1O3CZc9dFcOE8dUOvjZbhsCSprd0dE3uh?usp=sharing</t>
  </si>
  <si>
    <t>https://drive.google.com/drive/folders/1U749rjEAOHXaiMRg4YOwrwrpWBcMTE7j?usp=sharing</t>
  </si>
  <si>
    <t>CLAUDIA LILIANA SOTO HERNANDEZ</t>
  </si>
  <si>
    <t>https://drive.google.com/drive/folders/1G62S3H6uVrt76IAdApcVYY-z729TEf5S?usp=sharing</t>
  </si>
  <si>
    <t>https://drive.google.com/drive/folders/1JJ9LdS9exZeL5y8hvC8dYkQwx9FnswQJ?usp=sharing</t>
  </si>
  <si>
    <t>https://drive.google.com/drive/folders/1zGKXqbXUBshOlEgY6OFYO3WuVtCNujHr?usp=sharing</t>
  </si>
  <si>
    <t>https://drive.google.com/drive/folders/1n-9Fseq8f6NSaY8FiGTVzNfgFi0TpED_?usp=sharing</t>
  </si>
  <si>
    <t>https://drive.google.com/drive/folders/1mX5gqlD1Quz8HvPMkuKpmLwwqaxVJEHV?usp=sharing</t>
  </si>
  <si>
    <t>ANDRES CAMILO SAEZ ESPITIA</t>
  </si>
  <si>
    <t>https://drive.google.com/drive/folders/1qZWSK58wJbfpaJEpXd9WyNw_OFH79m5F?usp=sharing</t>
  </si>
  <si>
    <t>EDILBERTO ADEL LLORENTE CASTRO</t>
  </si>
  <si>
    <t>https://drive.google.com/drive/folders/1-d6NI8UFJICj7hTeX2vEnb5k-nDcEHoc?usp=sharing</t>
  </si>
  <si>
    <t>https://drive.google.com/drive/folders/1VXaa77iCBIWSpRYdDJFwyqBqq6OcTac3?usp=sharing</t>
  </si>
  <si>
    <t>ERIKA PAOLA ARCINIEGAS ROJAS</t>
  </si>
  <si>
    <t>https://drive.google.com/drive/folders/17MF7o64j4N4ePPhQWhenGYG7fJX7Yf7b?usp=sharing</t>
  </si>
  <si>
    <t>https://drive.google.com/drive/folders/1QwFxpk-4zpfQZvPQququmkn2Qd9qcmwZ?usp=sharing</t>
  </si>
  <si>
    <t>EDGAR ARTURO PRIETO ACEVEDO</t>
  </si>
  <si>
    <t>HARVY GENTIL DIAZ SIERRA</t>
  </si>
  <si>
    <t>MILDRED ILIANA ORDOÑEZ QUINTERO</t>
  </si>
  <si>
    <t>LIZAIDA MARGANTA BUELVAS NARANJO</t>
  </si>
  <si>
    <t>LUZ YADIRA MORENO PEREA</t>
  </si>
  <si>
    <t>NURY CARMENZA CHAPARRO CUBIDES</t>
  </si>
  <si>
    <t>VIVIANA ANDREA VEGA PINEDA</t>
  </si>
  <si>
    <t>MARÍA EUGENIA BERNAL GUTIERREZ</t>
  </si>
  <si>
    <t>GIOVANNI JAVIER LAITON GUTIERREZ</t>
  </si>
  <si>
    <t>RICARDO ELICEO PEREZ ANGARITA</t>
  </si>
  <si>
    <t>RICHAR ELKIN ACOSTA PABON</t>
  </si>
  <si>
    <t>HAROLD YESID SALAZAR PORTILLA</t>
  </si>
  <si>
    <t>CRISTIAN STEVEN PIÑEROS BONILLA</t>
  </si>
  <si>
    <t>Departamento</t>
  </si>
  <si>
    <t>Municipio</t>
  </si>
  <si>
    <t>NARIÑO</t>
  </si>
  <si>
    <t>PASTO</t>
  </si>
  <si>
    <t>Bogotá</t>
  </si>
  <si>
    <t>Santander</t>
  </si>
  <si>
    <t>Bucaramanga</t>
  </si>
  <si>
    <t>Cauca</t>
  </si>
  <si>
    <t>Popayán</t>
  </si>
  <si>
    <t>Atlántico</t>
  </si>
  <si>
    <t>Barranquilla</t>
  </si>
  <si>
    <t>Cesar</t>
  </si>
  <si>
    <t>Valledupar</t>
  </si>
  <si>
    <t>Chocó</t>
  </si>
  <si>
    <t>Córdoba</t>
  </si>
  <si>
    <t>San Pelayo</t>
  </si>
  <si>
    <t>Arauca</t>
  </si>
  <si>
    <t>Tame</t>
  </si>
  <si>
    <t>Nariño</t>
  </si>
  <si>
    <t>Cumbitara</t>
  </si>
  <si>
    <t>Cundinamarca</t>
  </si>
  <si>
    <t>Villagomez</t>
  </si>
  <si>
    <t>Chachagüí</t>
  </si>
  <si>
    <t>Valle del cauca</t>
  </si>
  <si>
    <t>Palmira</t>
  </si>
  <si>
    <t>Valle del Cauca</t>
  </si>
  <si>
    <t>Boyacá</t>
  </si>
  <si>
    <t>Chivata</t>
  </si>
  <si>
    <t>Puerto boyacá</t>
  </si>
  <si>
    <t>Timbío</t>
  </si>
  <si>
    <t>Antioquia</t>
  </si>
  <si>
    <t>Sabanalarga</t>
  </si>
  <si>
    <t>Risaralda</t>
  </si>
  <si>
    <t>Pereira</t>
  </si>
  <si>
    <t>Huila</t>
  </si>
  <si>
    <t>Neiva</t>
  </si>
  <si>
    <t>Pitalito</t>
  </si>
  <si>
    <t>Pasto</t>
  </si>
  <si>
    <t>Tolima</t>
  </si>
  <si>
    <t>Ibagué</t>
  </si>
  <si>
    <t>Guaduas</t>
  </si>
  <si>
    <t>Putumayo</t>
  </si>
  <si>
    <t>Mocoa</t>
  </si>
  <si>
    <t>Chia</t>
  </si>
  <si>
    <t>Cajibío</t>
  </si>
  <si>
    <t>Barrancabermeja</t>
  </si>
  <si>
    <t>318 2560795</t>
  </si>
  <si>
    <t>Barbosa</t>
  </si>
  <si>
    <t>Soledad</t>
  </si>
  <si>
    <t>Norte de Santander</t>
  </si>
  <si>
    <t>Ocaña</t>
  </si>
  <si>
    <t>Magdalena</t>
  </si>
  <si>
    <t>Casanare</t>
  </si>
  <si>
    <t>Yopal</t>
  </si>
  <si>
    <t>Saravena</t>
  </si>
  <si>
    <t>Piedecuesta</t>
  </si>
  <si>
    <t>Sabana de torres</t>
  </si>
  <si>
    <t>La plata</t>
  </si>
  <si>
    <t>Aguachica</t>
  </si>
  <si>
    <t>Bolívar</t>
  </si>
  <si>
    <t>Magangué</t>
  </si>
  <si>
    <t>Santander de Quilichao</t>
  </si>
  <si>
    <t>San juan de pasto</t>
  </si>
  <si>
    <t>San Andrés de Tumaco</t>
  </si>
  <si>
    <t>Floridablanca</t>
  </si>
  <si>
    <t>Contadero</t>
  </si>
  <si>
    <t>Sucre</t>
  </si>
  <si>
    <t>Sincelejo</t>
  </si>
  <si>
    <t>Tipacoque</t>
  </si>
  <si>
    <t>Lorica</t>
  </si>
  <si>
    <t>Purísima</t>
  </si>
  <si>
    <t>Ciénaga de oro</t>
  </si>
  <si>
    <t>El rosal</t>
  </si>
  <si>
    <t>Florencia</t>
  </si>
  <si>
    <t>Linares</t>
  </si>
  <si>
    <t>San José de Cúcuta</t>
  </si>
  <si>
    <t>La unión</t>
  </si>
  <si>
    <t>Guaviare</t>
  </si>
  <si>
    <t>San jose del guiaviare</t>
  </si>
  <si>
    <t>Páez</t>
  </si>
  <si>
    <t>Meta</t>
  </si>
  <si>
    <t>Villavicencio</t>
  </si>
  <si>
    <t>Cartagena</t>
  </si>
  <si>
    <t>Cali</t>
  </si>
  <si>
    <t>Arauquita</t>
  </si>
  <si>
    <t>Madrid</t>
  </si>
  <si>
    <t xml:space="preserve">Ocaña </t>
  </si>
  <si>
    <t>Valencia</t>
  </si>
  <si>
    <t xml:space="preserve">Cauca </t>
  </si>
  <si>
    <t>Duitama</t>
  </si>
  <si>
    <t>Tuaramena</t>
  </si>
  <si>
    <t>310 854 9007</t>
  </si>
  <si>
    <t>313 3428464</t>
  </si>
  <si>
    <t>Cerete</t>
  </si>
  <si>
    <t>Puerto colombia</t>
  </si>
  <si>
    <t>Montelibano</t>
  </si>
  <si>
    <t>cauca</t>
  </si>
  <si>
    <t>314 6304700</t>
  </si>
  <si>
    <t>valledupar</t>
  </si>
  <si>
    <t>Juan Pablo Leal Riveros</t>
  </si>
  <si>
    <t>https://drive.google.com/drive/folders/1sm88e_nw6wXliZuHbc16pqoSE_-d6GHS?usp=sharing</t>
  </si>
  <si>
    <t>DIEGO ALEJANDRO PÉREZ GIRALDO</t>
  </si>
  <si>
    <t>https://drive.google.com/drive/folders/1uY4yhWQYUu4y0JDH6HF2Z2f70EaFo7Af?usp=sharing</t>
  </si>
  <si>
    <t>Nidia Moreno Clavijo</t>
  </si>
  <si>
    <t>https://drive.google.com/drive/folders/1JZ_9glieOvbQsbgloXGEsqO-CWpvnWce?usp=sharing</t>
  </si>
  <si>
    <t>https://drive.google.com/drive/folders/1qYHVPGU2tVO2KH01wxH6yX0tn_07Z-bL?usp=sharing</t>
  </si>
  <si>
    <t>Flor Maria Garizabalo Villalobos</t>
  </si>
  <si>
    <t>https://drive.google.com/drive/folders/1CYi5ibORQXLTWlRXo3Xxu9U5dSFq2XCi?usp=sharing</t>
  </si>
  <si>
    <t>DIANA ALEJANDRA FULI GARCIA</t>
  </si>
  <si>
    <t>https://drive.google.com/drive/folders/1AwljIn-4QolbOvK1HfYQMwtGwisBDZpo?usp=sharing</t>
  </si>
  <si>
    <t xml:space="preserve">Liliana Yasmín Quitian Peña </t>
  </si>
  <si>
    <t>https://drive.google.com/drive/folders/1KrQ35z4gDPSyZorPuEKWrO1oDUNIKTau?usp=sharing</t>
  </si>
  <si>
    <t>Paola Albeiris Vargas Diaz</t>
  </si>
  <si>
    <t>https://drive.google.com/drive/folders/1o_LkApH9j7iLI5cI6sKB8Rg362t9_s3z?usp=sharing</t>
  </si>
  <si>
    <t>Yeimy Liliana Pulido Chaves</t>
  </si>
  <si>
    <t>https://drive.google.com/drive/folders/1xcgPtaPFKdqQvgUx3dsK58b28xxHOEjy?usp=sharing</t>
  </si>
  <si>
    <t>DIANA PATRICIA ISAZA UNI</t>
  </si>
  <si>
    <t>https://drive.google.com/drive/folders/1y1OejYHL6L4dRXYmJVEJo89-BdAC8eDH?usp=sharing</t>
  </si>
  <si>
    <t>Gina Paola Gonzalez vanegas</t>
  </si>
  <si>
    <t>https://drive.google.com/drive/folders/1v70l_6h-5Na-ahjAFDDSGm4O-2ujGmXi?usp=sharing</t>
  </si>
  <si>
    <t>SOLEDAD ACEVEDO RIZO</t>
  </si>
  <si>
    <t>https://drive.google.com/drive/folders/1R4tYN1Au2VZ8Ncvt5sZks4ndqX9zK3IF</t>
  </si>
  <si>
    <t>Juan Guillermo Patiño Benavides</t>
  </si>
  <si>
    <t>https://drive.google.com/drive/folders/1Qdx0GR2GvccjVFlFWYYjISWb0pvxyLRk?usp=sharing</t>
  </si>
  <si>
    <t>JUAN CARLOS ALFONSO MARTINEZ</t>
  </si>
  <si>
    <t>https://drive.google.com/drive/folders/1eym3Sn0MmayXC52D9x1LJz1VXbpSYel0?usp=sharing</t>
  </si>
  <si>
    <t xml:space="preserve">Nicolas Ballesteros Sánchez </t>
  </si>
  <si>
    <t>https://drive.google.com/drive/folders/1NasoDCngdu6ayr1WJ75Gdt8JcIRKkHRE?usp=sharing</t>
  </si>
  <si>
    <t>FELIX ARMANDO CELIS VALENCIA</t>
  </si>
  <si>
    <t>https://drive.google.com/drive/folders/1gBm-IF_1bBMdkI6SNl2bbHvG86d8K1yX?usp=sharing</t>
  </si>
  <si>
    <t>CAMILO MARTÍNEZ CUCHIMAQUE</t>
  </si>
  <si>
    <t>https://drive.google.com/drive/folders/1T_cFOPTo2VaorfT5eehf0QBu-KzMXoPd?usp=sharing</t>
  </si>
  <si>
    <t>OSPICIO GUILLERMO BAQUERO SERRANO</t>
  </si>
  <si>
    <t>https://drive.google.com/drive/folders/1mFzEBg7F48RuPgjjZLWeJOjpoqmwbDIm?usp=sharing</t>
  </si>
  <si>
    <t>Carlos Arturo Blanco</t>
  </si>
  <si>
    <t>https://drive.google.com/drive/folders/1Reyte8RxdC2NYciwJbPzdHFgOygtEmCX?usp=sharing</t>
  </si>
  <si>
    <t>JOHN JACOBO PALOMINO COLLAZOS</t>
  </si>
  <si>
    <t>https://drive.google.com/drive/folders/1-oN3UKA-cZMLTJfljywpj91srowPRW0r?usp=sharing</t>
  </si>
  <si>
    <t>WALTER MAURICIO JARAMILLO GIL</t>
  </si>
  <si>
    <t>https://drive.google.com/drive/folders/1gYgIiNlRhS-S_bk_sBtXg8vC-Ph4-UU7?usp=sharing</t>
  </si>
  <si>
    <t xml:space="preserve">María Cecilia Castro Luque </t>
  </si>
  <si>
    <t>https://drive.google.com/drive/folders/192BrhI9Kn6h2d4gKfHDFze7RZyrVBdQ-?usp=sharing</t>
  </si>
  <si>
    <t xml:space="preserve">Mariana Duarte Duarte </t>
  </si>
  <si>
    <t>https://drive.google.com/drive/folders/1-6VokM-OlhbjZOpvh5vnj9FztL_-XIZt?usp=sharing</t>
  </si>
  <si>
    <t>Cristian Camilo Velásquez Cardona</t>
  </si>
  <si>
    <t>https://drive.google.com/drive/folders/1SpRTHy90nXsHci7pjVRaD118TRN3e0wp?usp=sharing</t>
  </si>
  <si>
    <t>JEIMY CECILI AVILA MORENO</t>
  </si>
  <si>
    <t>https://drive.google.com/drive/folders/1T7Q_BMtVxF9QWZ5YIT1j9Y66ME6IYyjP?usp=sharing</t>
  </si>
  <si>
    <t>ANGIE PAOLA Quintero Espitia</t>
  </si>
  <si>
    <t>https://drive.google.com/drive/folders/1P44vY5T2aKbfNKLNXSsfqo_9kiRt3CaY?usp=sharing</t>
  </si>
  <si>
    <t>Karen Dayana Rubiano Gambasica</t>
  </si>
  <si>
    <t>https://drive.google.com/drive/folders/1_yJrICob6mmpOjFN0JtfunL0KvfO5j0j?usp=sharing</t>
  </si>
  <si>
    <t>LUIS CARLOS GOMEZ</t>
  </si>
  <si>
    <t>https://drive.google.com/drive/folders/1pcjNm6wngnFYjej-9K122HMNohNQ3OwH?usp=sharing</t>
  </si>
  <si>
    <t>Ana Sofia Urrego</t>
  </si>
  <si>
    <t>https://drive.google.com/drive/folders/1Fw4R05njqKd9JL8EZd0WWwx1mnWOkrn6?usp=sharing</t>
  </si>
  <si>
    <t xml:space="preserve">Kimberly Gisselle Orjuela Vergara </t>
  </si>
  <si>
    <t>https://drive.google.com/drive/folders/1wXx9H5yCDJc5xJqlpFXhzq18Oepouo_I?usp=sharing</t>
  </si>
  <si>
    <t>Valeria Valentina Palencia Amaya</t>
  </si>
  <si>
    <t>https://drive.google.com/drive/folders/1QJcgPPWO0QDT-UVD9alnP8bl_MSoHnpE?usp=sharing</t>
  </si>
  <si>
    <t>Claudia Juliana Cruz Castellanos</t>
  </si>
  <si>
    <t>https://drive.google.com/drive/folders/14njagqCfiyu81X7WcSzSebs5-wZeIHuS?usp=sharing</t>
  </si>
  <si>
    <t xml:space="preserve">Cristian Felipe Diaz Vargas </t>
  </si>
  <si>
    <t>https://drive.google.com/drive/folders/1wp4fS7ybzKnKwgUSw2_InhXGxukF4Bhj?usp=sharing</t>
  </si>
  <si>
    <t>Nicolás Perilla Hernández</t>
  </si>
  <si>
    <t>https://drive.google.com/drive/folders/1mYeTrMr9fVMupbgBH03WICRu8WdcNHp1?usp=sharing</t>
  </si>
  <si>
    <t>Nycol Vanessa Cardenas Arias</t>
  </si>
  <si>
    <t>https://drive.google.com/drive/folders/1obErtsCRZzz67GwTcjwVwm6oBay_iA3D?usp=sharing</t>
  </si>
  <si>
    <t>Kendy Paola Tapia Díaz</t>
  </si>
  <si>
    <t>https://drive.google.com/drive/folders/1gv3jLYrYcnH5n42HvXu5Oh9g48mX9D2E?usp=sharing</t>
  </si>
  <si>
    <t>Lucy Angélica Solano Garces</t>
  </si>
  <si>
    <t>https://drive.google.com/drive/folders/136R8eK4W6uZ6z5WwPA1GEQnEDfGYGBut?usp=sharing</t>
  </si>
  <si>
    <t>Maria Monica Mejia Peralta</t>
  </si>
  <si>
    <t>https://drive.google.com/drive/folders/1ZPmYr7sYf_mU3EVlZQv-9MEz7Q79yTmx?usp=sharing</t>
  </si>
  <si>
    <t>Michel Vannesa Farfan Martinez</t>
  </si>
  <si>
    <t>https://drive.google.com/drive/folders/1v7OoxPaSbTd9xiJ42U1gu9imoUYICFLP?usp=sharing</t>
  </si>
  <si>
    <t xml:space="preserve">Daiyen Tatiana Velásquez </t>
  </si>
  <si>
    <t>https://drive.google.com/drive/folders/1F5cg40wZxqjaFJVfVD9KJgAVIUbinfmC?usp=sharing</t>
  </si>
  <si>
    <t>Mireya Martinez Guzman</t>
  </si>
  <si>
    <t>https://drive.google.com/drive/folders/1zHHfeBD7lBKloYhPFqd6M97QSMUoV_WN?usp=sharing</t>
  </si>
  <si>
    <t>YHEY MAYHISNY MATURANA CORREA</t>
  </si>
  <si>
    <t>https://drive.google.com/drive/folders/1itgVqRc1hu-G753Nt5iD4huxonLXVJW2?usp=sharing</t>
  </si>
  <si>
    <t>Katherine Susana Barón Perdomo</t>
  </si>
  <si>
    <t>https://drive.google.com/drive/folders/1Fk_uX0bzym-Af2VD0HkFAcUyhPom21Mx?usp=sharing</t>
  </si>
  <si>
    <t>Mario Fernando Gomez Murillo</t>
  </si>
  <si>
    <t>https://drive.google.com/drive/folders/1F4z7BtsitStwGEEFElckTOL13QOglZT9?usp=sharing</t>
  </si>
  <si>
    <t>Angy Yulieth Galvis Arias</t>
  </si>
  <si>
    <t>https://drive.google.com/drive/folders/1W6vPJJ1jSx0HwkHq6De4sSEDBGm3hfm6?usp=sharing</t>
  </si>
  <si>
    <t>Lizeth Johanna Cano Muñoz</t>
  </si>
  <si>
    <t>https://drive.google.com/drive/folders/1FofHc1FB5t031jebH_UwtEL-9gQNLe2p?usp=sharing</t>
  </si>
  <si>
    <t>YENNY ESPERANZA ACUÑA ROA</t>
  </si>
  <si>
    <t>https://drive.google.com/drive/folders/1fWB8ucNNf8bl5-8tPFnxMh04eyL-oR5w?usp=drive_link</t>
  </si>
  <si>
    <t>SANDRA PATRICIA RINCON</t>
  </si>
  <si>
    <t>https://drive.google.com/drive/folders/15YN0Jet1MYJLta8Yvt-R9EK_fxjA24y-?usp=drive_link</t>
  </si>
  <si>
    <t>INGRID MARCELA CHACÓN LÓPEZ</t>
  </si>
  <si>
    <t>https://drive.google.com/drive/folders/1-GkQTa-Sj9t7T-kCGTitTW4uPSzNd4ek?usp=sharing</t>
  </si>
  <si>
    <t>Maria de los Angeles Sierra Perez</t>
  </si>
  <si>
    <t>https://drive.google.com/drive/folders/1cA17wzrBGghm99gAq8FkEnVQomgNbgNl?usp=sharing</t>
  </si>
  <si>
    <t>Igmar Hernando Leon Jimenez</t>
  </si>
  <si>
    <t>https://drive.google.com/drive/folders/1n0LfCvVylSOqZWyRf9wx2AFe86ov02XT?usp=sharing</t>
  </si>
  <si>
    <t>Jhon Daniel Londoño Martinez</t>
  </si>
  <si>
    <t>https://drive.google.com/drive/folders/1tN2n6B2r6BU_FVt9nHd1FzaUJAjBayTL?usp=sharing</t>
  </si>
  <si>
    <t>Gabriela Calderon Sarmiento</t>
  </si>
  <si>
    <t>https://drive.google.com/drive/folders/1-nCjeEEPwM7nCQGAXYfXq6N5ZJOkVus_?usp=sharing</t>
  </si>
  <si>
    <t>MILETH XIOMARA RINCON RAMIREZ</t>
  </si>
  <si>
    <t>https://drive.google.com/drive/folders/1Z0hSlrqZhD2W88FIvvFymAgp2vc3n9Jt?usp=sharing</t>
  </si>
  <si>
    <t>RCE_260127_33</t>
  </si>
  <si>
    <t>RCE_260131_37</t>
  </si>
  <si>
    <t>RCE_260128_35</t>
  </si>
  <si>
    <t>RCE_260131_36</t>
  </si>
  <si>
    <t>RCE_260127_32</t>
  </si>
  <si>
    <t>RCE_260102_4
RCE_260131_37</t>
  </si>
  <si>
    <t>RCE_260102_4
RCE_260128_35</t>
  </si>
  <si>
    <t>RCE_260121_24
RCE_260126_31</t>
  </si>
  <si>
    <t>Contratado</t>
  </si>
  <si>
    <t>Sí</t>
  </si>
  <si>
    <t>No</t>
  </si>
  <si>
    <t>JOAHN ALEXANDER MORA SANTOS</t>
  </si>
  <si>
    <t>JOHANA ANDREA PORRAS GOMEZ</t>
  </si>
  <si>
    <t>JOHNNY ALBEIRO CASTAÑEDA CASTAÑEDA</t>
  </si>
  <si>
    <t>ANA MARIA MIRANDA NAVARRO</t>
  </si>
  <si>
    <t>JENNY ALEXANDRA SOLANO RAMÍREZ</t>
  </si>
  <si>
    <t>LIZETH PAOLA DURAN GRANADOS</t>
  </si>
  <si>
    <t>GLORIA ALEXANDRA ORTIZ ROCHA</t>
  </si>
  <si>
    <t>DANNY YAHIR NUÑEZ IBATA</t>
  </si>
  <si>
    <t>JAVIER MAURICIO VALENCIA CHACUE</t>
  </si>
  <si>
    <t>JUAN MANUEL CASTAÑEDA ISAZA</t>
  </si>
  <si>
    <t>RCE_260204_38</t>
  </si>
  <si>
    <t>https://drive.google.com/drive/folders/1hPhXB7pSVDVOyi8MuZQdFRRyvs4aGdO9?usp=sharing</t>
  </si>
  <si>
    <t>https://drive.google.com/drive/folders/1IO97CEVIaSevgAKGlZaPz3m1U3AyK43q?usp=sharing</t>
  </si>
  <si>
    <t>https://drive.google.com/drive/folders/1pyZ6tAh-q4XEvDmmssIWx_PG0hNMTDJg?usp=sharing</t>
  </si>
  <si>
    <t>https://drive.google.com/drive/folders/13xfubWLdwC7QP5pXWv3zYcoIikh8v1cl?usp=sharing</t>
  </si>
  <si>
    <t>https://drive.google.com/drive/folders/1px8uo38gBpZeWsmQ6sPMGrKJCupadQdq?usp=sharing</t>
  </si>
  <si>
    <t>https://drive.google.com/drive/folders/1pJERzjAMUDM_a6rIKchsnMjIS3FQBzTc?usp=sharing</t>
  </si>
  <si>
    <t>https://drive.google.com/drive/folders/1Y4B1XxqrOEIGLuRQ4QhGa80PL-_hgbGB?usp=sharing</t>
  </si>
  <si>
    <t>https://drive.google.com/drive/folders/1YwvDoQG6sbTocOPwNGMoLIpx9_p5NQmF?usp=sharing</t>
  </si>
  <si>
    <t>https://drive.google.com/drive/folders/1tapbEt-yL67Ja8kXqd8vVzKcMqEtwyEs?usp=sharing</t>
  </si>
  <si>
    <t>RCE_260205_39</t>
  </si>
  <si>
    <t>RCE_260109_13
RCE_260122_28
RCE_260205_39</t>
  </si>
  <si>
    <t>RCE_260102_4
RCE_260205_39</t>
  </si>
  <si>
    <t>Leidy Tatiana Castro Moreno</t>
  </si>
  <si>
    <t>Miguel Ángel Albarracin Rojas</t>
  </si>
  <si>
    <t>RCE_260205_40</t>
  </si>
  <si>
    <t>RCE_260205_41</t>
  </si>
  <si>
    <t>Harold Valencia Bermúdez</t>
  </si>
  <si>
    <t>María Teresa Duque González</t>
  </si>
  <si>
    <t>Mauricio Montenegro Perafan</t>
  </si>
  <si>
    <t>Cristian José Meza Cerra</t>
  </si>
  <si>
    <t>Andrés Felipe Gallo Ruiz</t>
  </si>
  <si>
    <t>Ana Cristina Lara Pulecio</t>
  </si>
  <si>
    <t>Jenny Carolina Correa Prada</t>
  </si>
  <si>
    <t>Lorena Mercedes Triviño Hernández</t>
  </si>
  <si>
    <t>Andrea Del Pilar Conde Capera</t>
  </si>
  <si>
    <t>Cesar Augusto Pulecio Méndez</t>
  </si>
  <si>
    <t>John Wilmer Martínez Cruz</t>
  </si>
  <si>
    <t>Leina Carina Vitobis Alvira</t>
  </si>
  <si>
    <t>Delia Paola Murillo Cordoba</t>
  </si>
  <si>
    <t>Martha Liliana Escobar</t>
  </si>
  <si>
    <t>Viviana Baquero Castellanos</t>
  </si>
  <si>
    <t>Maira Vasquez Rivera</t>
  </si>
  <si>
    <t>Leidy Katherine Peña Morales</t>
  </si>
  <si>
    <t>https://drive.google.com/drive/folders/1iF1spnRVP9b4-NZmykDlx0_cbNLWYm99?usp=sharing</t>
  </si>
  <si>
    <t>https://drive.google.com/drive/folders/1yfhvOpcM19mTBww_gu5-JLXCTw78tR9N?usp=sharing</t>
  </si>
  <si>
    <t>https://drive.google.com/drive/folders/1A4EkaJJ0PlEYzhu_7lNmP66BGF4ukJrW?usp=sharing</t>
  </si>
  <si>
    <t>https://drive.google.com/drive/folders/1cvrdWVlfnb2Ex5kDFCuDW0vVDuoEaVhh?usp=sharing</t>
  </si>
  <si>
    <t>https://drive.google.com/drive/folders/1WBOyRIImocIit8THEQDqreQHZtd0oHvJ?usp=sharing</t>
  </si>
  <si>
    <t>https://drive.google.com/drive/folders/1SSAnq4HUo1ekViaQLEucP_ClPyXBQqu4?usp=sharing</t>
  </si>
  <si>
    <t>https://drive.google.com/drive/folders/10PZ0-ZpJBzGVEFu0RVVsjKHql9XOnfYO?usp=sharing</t>
  </si>
  <si>
    <t>https://drive.google.com/drive/folders/1uupFcwXby-nl29YhJB1WaxAbi5VgZYdu?usp=sharing</t>
  </si>
  <si>
    <t>https://drive.google.com/drive/folders/1w3H7CCSaOcK7uZ4m2awYVl5vcikrA7BV?usp=sharing</t>
  </si>
  <si>
    <t>https://drive.google.com/drive/folders/1ngl-dMNu6gHbecXOuMMeqk4qv0xuxEUP?usp=sharing</t>
  </si>
  <si>
    <t>https://drive.google.com/drive/folders/11YjpHgwQg9fG3kJoi86HLkGSZzfbGVQv?usp=sharing</t>
  </si>
  <si>
    <t>https://drive.google.com/drive/folders/1ynm5SumEzw0K352f_i15M2ivRKzB0zb7?usp=sharing</t>
  </si>
  <si>
    <t>https://drive.google.com/drive/folders/1p8-yNT8PDpZoTF5iUkjXaEEc06kXqhq9?usp=sharing</t>
  </si>
  <si>
    <t>https://drive.google.com/drive/folders/10zLWqSkdRn9XWAx6ji-lnKVh9ScLQRpu?usp=sharing</t>
  </si>
  <si>
    <t>https://drive.google.com/drive/folders/1JBdoNbs4TbwS5GVJrzmPDbPETL4y-KIT?usp=sharing</t>
  </si>
  <si>
    <t>https://drive.google.com/drive/folders/16oNEi7fdCN6MTgV_J4B59ZcWLt9swAvF?usp=sharing</t>
  </si>
  <si>
    <t>https://drive.google.com/drive/folders/112kbjkEfHkMyZpKVD0rlqb_HlLft_zok?usp=sharing</t>
  </si>
  <si>
    <t>https://drive.google.com/drive/folders/1yu_7-hHLLZsy5wE2qdkD8Wo4Tx3dsQHq?usp=sharing</t>
  </si>
  <si>
    <t>https://drive.google.com/drive/folders/1FECXl1ubJOJVdZ6UAUt69pWq_zGgRSx0?usp=sharing</t>
  </si>
  <si>
    <t>312 7219584</t>
  </si>
  <si>
    <t>311 2310341</t>
  </si>
  <si>
    <t>300 5333994</t>
  </si>
  <si>
    <t>310 350 3297</t>
  </si>
  <si>
    <t>321 3251461</t>
  </si>
  <si>
    <t>Puerto Asis</t>
  </si>
  <si>
    <t xml:space="preserve"> https://drive.google.com/drive/folders/1i-8u178bLoErfwY7ii9T6JEJkZl6XPrH?usp=sharing</t>
  </si>
  <si>
    <t>Armenia</t>
  </si>
  <si>
    <t xml:space="preserve">Huila </t>
  </si>
  <si>
    <t>Granada</t>
  </si>
  <si>
    <t>Tesalia</t>
  </si>
  <si>
    <t>María Camelia Del Pilar Jiménez Falla</t>
  </si>
  <si>
    <t>https://drive.google.com/drive/folders/1TGTNL_jM_JuuJW0srnj6kjY5I7DaX7lT?usp=sharing</t>
  </si>
  <si>
    <t>RCE_260206_42</t>
  </si>
  <si>
    <t xml:space="preserve">Carlos Alberto Borda Ladino </t>
  </si>
  <si>
    <t xml:space="preserve">Erika Viviana Trujillo Angulo </t>
  </si>
  <si>
    <t xml:space="preserve">Yamile Díaz Rodríguez </t>
  </si>
  <si>
    <t>https://drive.google.com/drive/folders/1_44GkF3AGucvIWK9kVATug0RlMhrNebO?usp=sharing</t>
  </si>
  <si>
    <t>https://drive.google.com/drive/folders/10K6xkar7xd0XAd218S7K9en6hnDzSanU?usp=sharing</t>
  </si>
  <si>
    <t>https://drive.google.com/drive/folders/1adx1KImcfoSu5VYQ4Mj1kT4n6a8s_iBC?usp=sharing</t>
  </si>
  <si>
    <t>RCE_260205_41
RCE_260206_43</t>
  </si>
  <si>
    <t>Erney Rosero Lagos</t>
  </si>
  <si>
    <t>Mary Luz Duarte Garzon</t>
  </si>
  <si>
    <t>https://drive.google.com/drive/folders/1oXtMvDI-Gy2KiwMcp3Y3ZHmQtI5CSfu-?usp=sharing</t>
  </si>
  <si>
    <t>https://drive.google.com/drive/folders/15BqFMGheaTPQ2HtfgfactbwGDHdAaiSQ?usp=sharing</t>
  </si>
  <si>
    <t>3163819178 - 3150667131</t>
  </si>
  <si>
    <t>RCE_260206_43</t>
  </si>
  <si>
    <t>Maria Jose Donado Gutierrez</t>
  </si>
  <si>
    <t>https://drive.google.com/drive/folders/1GHBUURgt2KdObDe3uq-IQnMEmQXIE1m8?usp=sharing</t>
  </si>
  <si>
    <t>RCE_260209_44</t>
  </si>
  <si>
    <t>Carol Santos Castro</t>
  </si>
  <si>
    <t>Walter Javier Moreno Castro</t>
  </si>
  <si>
    <t>Cristian David Gaviria Mosquera</t>
  </si>
  <si>
    <t>https://drive.google.com/drive/folders/1a3K4h6nWFlnS33amh2y0U_oze2cFtKbg?usp=sharing</t>
  </si>
  <si>
    <t>RCE_260109_12
RCE_260209_44</t>
  </si>
  <si>
    <t>RCE_260209_45</t>
  </si>
  <si>
    <t xml:space="preserve">https://drive.google.com/drive/folders/1Dvvp5n-7LkLC8RouXxSmFrW9R48D5lsT?usp=sharing </t>
  </si>
  <si>
    <t xml:space="preserve">https://drive.google.com/drive/folders/1ipZcBlp-Bv2r0WTXlvQA9bTmh1Fs04Vi?usp=sharing </t>
  </si>
  <si>
    <t>Jenny Carolina Martínez Beltran</t>
  </si>
  <si>
    <t>Jhon Edison Chaparro Cetina</t>
  </si>
  <si>
    <t>Jaime Eduardo Díaz Jaime</t>
  </si>
  <si>
    <t>Diana Chavarro Rodríguez</t>
  </si>
  <si>
    <t>Javier Ortiz Rodríguez</t>
  </si>
  <si>
    <t>José Eduardo Jiménez Patiño</t>
  </si>
  <si>
    <t>Johan Hernando Urrea Monsalve</t>
  </si>
  <si>
    <t>Juan Diego Rodríguez Monroy</t>
  </si>
  <si>
    <t>Luz Andrea Sotelo Trujillo</t>
  </si>
  <si>
    <t>https://drive.google.com/drive/folders/1_urQBMNqIym7LEGV6bODfKYzgWrTScPA?usp=sharing</t>
  </si>
  <si>
    <t>312 3270016</t>
  </si>
  <si>
    <t>https://drive.google.com/drive/folders/1f-v1MTq8p325a4DTWegQSFax1kMMSCXc?usp=sharing</t>
  </si>
  <si>
    <t>https://drive.google.com/drive/folders/1olR6WTaO_mWL9WtjpDgwZ1crS63x_iCo?usp=sharing</t>
  </si>
  <si>
    <t>313 236 7713</t>
  </si>
  <si>
    <t>https://drive.google.com/drive/folders/1zLfPmSFFE4dm4kRbteYAFEo5L33zWgNa?usp=sharing</t>
  </si>
  <si>
    <t>https://drive.google.com/drive/folders/1lq9aDNtHm6RCEjfKJq7Ypu7GsXEBGe0v?usp=sharing</t>
  </si>
  <si>
    <t>https://drive.google.com/drive/folders/1FszRGSfXIeGm1nthCJN9iLvdniRQfh3i?usp=sharing</t>
  </si>
  <si>
    <t>https://drive.google.com/drive/folders/1r72FZElyJbFjUI6qb5szSwdQ_FmLMR1o?usp=sharing</t>
  </si>
  <si>
    <t>313 312 9536</t>
  </si>
  <si>
    <t>https://drive.google.com/drive/folders/1soknvNchjAA60zmgoQXXv_EPJCh4I8yA?usp=sharing</t>
  </si>
  <si>
    <t>https://drive.google.com/drive/folders/1Li3-nEcnj1A3z3pbiReACYatTFHY6ZFv?usp=sharing</t>
  </si>
  <si>
    <t>322 711 3012</t>
  </si>
  <si>
    <t>Soacha</t>
  </si>
  <si>
    <t>Tunja</t>
  </si>
  <si>
    <t>Oiba</t>
  </si>
  <si>
    <t>Caquetá</t>
  </si>
  <si>
    <t>Quibdó</t>
  </si>
  <si>
    <t>Vichada</t>
  </si>
  <si>
    <t>Puerto Carreño</t>
  </si>
  <si>
    <t>El colegio</t>
  </si>
  <si>
    <t>Caldas</t>
  </si>
  <si>
    <t>Manizales</t>
  </si>
  <si>
    <t>San juan de arama</t>
  </si>
  <si>
    <t>Girón</t>
  </si>
  <si>
    <t>Apartadó</t>
  </si>
  <si>
    <t>Buriticá</t>
  </si>
  <si>
    <t>Cajicá</t>
  </si>
  <si>
    <t>Tambo</t>
  </si>
  <si>
    <t>Santa Marta</t>
  </si>
  <si>
    <t>Chinú</t>
  </si>
  <si>
    <t>Montería</t>
  </si>
  <si>
    <t>Cúcuta</t>
  </si>
  <si>
    <t>Mabel Natalia Mancilla Escucha</t>
  </si>
  <si>
    <t>https://drive.google.com/drive/folders/1vc1Pv2iF_SHo1haci9Gbw3a6uRk9J8PE?usp=sharing</t>
  </si>
  <si>
    <t>RCE_260210_47</t>
  </si>
  <si>
    <t>Sandra Liliana Arteaga Briñez</t>
  </si>
  <si>
    <t>https://drive.google.com/drive/folders/1v1XkFDu-NpYU-cIhiYKl2j9Lezr8XYeD?usp=sharing</t>
  </si>
  <si>
    <t>Jesus Gustavo Martinez graffe</t>
  </si>
  <si>
    <t>https://drive.google.com/drive/folders/1McuhEbtIdL9vK3qyMZDriaWvISMA13Yj?usp=sharing</t>
  </si>
  <si>
    <t>RCE_260210_46</t>
  </si>
  <si>
    <t>GLORIA CRISTINA TORRES MACHADO</t>
  </si>
  <si>
    <t>RCE_260211_48</t>
  </si>
  <si>
    <t>Luis Alberto Pineda Florian</t>
  </si>
  <si>
    <t>https://drive.google.com/drive/folders/19ypW8X8hJPXb0BGCUHodsZbjwJnv4Kwc?usp=sharing</t>
  </si>
  <si>
    <t>Edmundo Valencia Alegria</t>
  </si>
  <si>
    <t>https://drive.google.com/drive/folders/1NoTySi_W0mSLQbruKh_7-StTkYNnexrC?usp=sharing</t>
  </si>
  <si>
    <t>Cindy Paola Moreno Cruz</t>
  </si>
  <si>
    <t>https://drive.google.com/drive/folders/1uHNCH5SgAZ6lZVAKAuAhPpcX2nx9Nn76?usp=sharing</t>
  </si>
  <si>
    <t>DAVID ALFONSO CANDELARIO GUERRERO</t>
  </si>
  <si>
    <t>https://drive.google.com/drive/folders/1kwpRWkaBFrDD6WUxjeFiRKXI5QHleA7r?usp=sharing</t>
  </si>
  <si>
    <t>310 729 0126 - 301 426 6361</t>
  </si>
  <si>
    <t>MICHAEL MC DONALD HARDING LOZANO</t>
  </si>
  <si>
    <t>https://drive.google.com/drive/folders/1vvr3fbIWfifpOxvCBeua26E-vC5eU-yp?usp=sharing</t>
  </si>
  <si>
    <t>María José Landázuri Mairongo</t>
  </si>
  <si>
    <t>https://drive.google.com/drive/folders/1lRnqa8jSDMwg9ZU6avqSov-WeigiD2U-?usp=sharing</t>
  </si>
  <si>
    <t>3217461748 / 3042483803 Wpp</t>
  </si>
  <si>
    <t>Gina Yoelis preciado molina</t>
  </si>
  <si>
    <t>https://drive.google.com/drive/folders/1mQUFrVn0cVzK6ja_wu7_LVTEdPNtRkOF?usp=sharing</t>
  </si>
  <si>
    <t>313 725 6270</t>
  </si>
  <si>
    <t>José Javier castro Marquinez</t>
  </si>
  <si>
    <t>https://drive.google.com/drive/folders/1D-bjLmEnfamW2lSpKyfQtJukaKZK2PF4?usp=sharing</t>
  </si>
  <si>
    <t>3185810016 – 7274045</t>
  </si>
  <si>
    <t>RCE_260211_49</t>
  </si>
  <si>
    <t>Patricia Sandoval Manrique</t>
  </si>
  <si>
    <t>https://drive.google.com/drive/folders/1QaMuw3Gu2X8JSqp_v3kjn9AQ19A3Rl1d?usp=sharing</t>
  </si>
  <si>
    <t>3128973438 - 3117233995</t>
  </si>
  <si>
    <t>Leiner Arizala Guerrero</t>
  </si>
  <si>
    <t>https://drive.google.com/drive/folders/1LGSAlQfESOzjk6loen21h7owF-kpnYHj?usp=sharing</t>
  </si>
  <si>
    <t>Guillermo Hernan Acevedo Rodriguez</t>
  </si>
  <si>
    <t>https://drive.google.com/drive/folders/1F7ORw9kn9QejR-Ys1QPjvin9mj8wV-Qs?usp=sharing</t>
  </si>
  <si>
    <t>Yolanda Maricela Anaguano Cuaspa</t>
  </si>
  <si>
    <t>https://drive.google.com/drive/folders/1rCSt0-uMtOsCpPJy8t66QfaQnXlHDDvj?usp=sharing</t>
  </si>
  <si>
    <t>OLGA LUCÍA VEGA MONROY</t>
  </si>
  <si>
    <t>https://drive.google.com/drive/folders/1-5YH8EF9wPzCJpuSgMIyG839Wr589utg?usp=sharing</t>
  </si>
  <si>
    <t>314-2494134</t>
  </si>
  <si>
    <t>ANGELA DANIELA SÁNCHEZ RUIZ</t>
  </si>
  <si>
    <t>https://drive.google.com/drive/folders/1vJ_6xryEugBoZEvWV1zfYJQ4o-kSf1Ja?usp=sharing</t>
  </si>
  <si>
    <t>REINALDO PEREZ DAZA</t>
  </si>
  <si>
    <t>https://drive.google.com/drive/folders/1lnyQ_15_kMFP_Qa28XlozrJx5ZIMGjId?usp=sharing</t>
  </si>
  <si>
    <t>Kevin Yair Díaz Rodríguez</t>
  </si>
  <si>
    <t>https://drive.google.com/drive/folders/1tK8BhrR8mQMCJn0zW9maoaow0ed5eO4Z?usp=sharing</t>
  </si>
  <si>
    <t>304 3507998</t>
  </si>
  <si>
    <t>Luis Sebastian Sanabria Silva</t>
  </si>
  <si>
    <t>https://drive.google.com/drive/folders/1HICNpW9QHTleLNuxawt1d5jfn-Qm1H3n?usp=sharing</t>
  </si>
  <si>
    <t>3008533923 - 3112706253</t>
  </si>
  <si>
    <t>JUANA JUDITH BUELVAS GUERRERO</t>
  </si>
  <si>
    <t>https://drive.google.com/drive/folders/1hq80H0N3WgY671Kp7S-upJdlcdHw8QCf?usp=sharing</t>
  </si>
  <si>
    <t>3004040910 - 3224325832</t>
  </si>
  <si>
    <t>HANNER JEFFERSON CARDENAS GONZALEZ</t>
  </si>
  <si>
    <t>https://drive.google.com/drive/folders/1OiC82OZG_FyvG9esm7XI9qO4Zk91tp5T?usp=sharing</t>
  </si>
  <si>
    <t>Deisy Liliana Viveros Castillo</t>
  </si>
  <si>
    <t>https://drive.google.com/drive/folders/1GdJn3R5Ccs5qzSFTLJuE1BvBlBEBglVj?usp=sharing</t>
  </si>
  <si>
    <t>DIEGO ALEJANDRO TURCO DIAZ</t>
  </si>
  <si>
    <t>https://drive.google.com/drive/folders/1Q9LUZcznKMuex4Q6r-7sduUASe4KsBXW?usp=sharing</t>
  </si>
  <si>
    <t>DIEGO FERNANDO GONZALEZ AMORTEGUI</t>
  </si>
  <si>
    <t>https://drive.google.com/drive/folders/1uqPcMnqAmTAW6HUkf7FBHrUf_LiYFBOK?usp=sharing</t>
  </si>
  <si>
    <t>310 889 5806</t>
  </si>
  <si>
    <t>Cristian Fabian Cruz Anachury</t>
  </si>
  <si>
    <t>https://drive.google.com/drive/folders/13JvicLmkeF1XVxoika-9vjr8MOJyB2yP?usp=sharing</t>
  </si>
  <si>
    <t>Angela Maria Uribe Copete</t>
  </si>
  <si>
    <t>https://drive.google.com/drive/folders/15-CGsIdOSlS-rzQYx7dFnYuJ3-MB1NvT?usp=sharing</t>
  </si>
  <si>
    <t>304 580 77 07</t>
  </si>
  <si>
    <t>MARIA LUISA GIL RESTREPO</t>
  </si>
  <si>
    <t>https://drive.google.com/drive/folders/1S07Pv3QXyux5CD1bchUhLSo8kCxB_cix?usp=sharing</t>
  </si>
  <si>
    <t>3146915795 - 3159046950</t>
  </si>
  <si>
    <t>MAYERLY ANDREA SOLANO AGUILLÓN</t>
  </si>
  <si>
    <t xml:space="preserve">https://drive.google.com/drive/folders/1c3bmg3GsXC2BnLKY5wEFgO7u8FmZtMYN?usp=sharing </t>
  </si>
  <si>
    <t>314-5595453</t>
  </si>
  <si>
    <t>Quindío</t>
  </si>
  <si>
    <t>RCE_260212_50</t>
  </si>
  <si>
    <t>Joisse Smith Lopez Sanchez</t>
  </si>
  <si>
    <t>https://drive.google.com/drive/folders/1F4fubf8AgJDMns7mE43j8LtLqCXl1MLf?usp=sharing</t>
  </si>
  <si>
    <t>https://drive.google.com/drive/folders/1rFL0ZTTKgAstjRWhKfPY43Wx7tQJRDVT?usp=sharing</t>
  </si>
  <si>
    <t>JUAN PABLO CARRILLO CETINA</t>
  </si>
  <si>
    <t>https://drive.google.com/drive/folders/1uXY16lHIpkzB7J2A-XIovxQ203fxgQos</t>
  </si>
  <si>
    <t>CLAUDIA PATRICIA CABRERA TORDECILLA</t>
  </si>
  <si>
    <t>https://drive.google.com/drive/folders/1UhCLl72ytuVseaE5xZC8SsIrE19Oz6OK?usp=sharing</t>
  </si>
  <si>
    <t>3154681386-3216399536</t>
  </si>
  <si>
    <t>Frank Alexis Solorzano Camacho</t>
  </si>
  <si>
    <t>https://drive.google.com/drive/folders/1fAVgGJo_edCkw4aHcqW-wkogoo04NW4Z?usp=sharing</t>
  </si>
  <si>
    <t>Zully Solarte Cordoba</t>
  </si>
  <si>
    <t>https://drive.google.com/drive/folders/1iyqugHwzMlSvMS0oI5BT4arrCqnA-B-b?usp=sharing</t>
  </si>
  <si>
    <t>Mary Fernanda Arevalo Robles</t>
  </si>
  <si>
    <t>https://drive.google.com/drive/folders/1uCtJLjUGP5j6bxcNKa2ICrypFLxXTE_-?usp=sharing</t>
  </si>
  <si>
    <t>Aida Ximena Latorre Lopez</t>
  </si>
  <si>
    <t>https://drive.google.com/drive/folders/19-o-Rum0mwSmT9a8z0jgjBRTcByV8Bnu?usp=sharing</t>
  </si>
  <si>
    <t>JUAN SEBASTIAN MUTIZ BACCA</t>
  </si>
  <si>
    <t>https://drive.google.com/drive/folders/1BBwTx5cFHzB2r8c3ARTc0TZ802zYCGxd?usp=sharing</t>
  </si>
  <si>
    <t>317-5144690 324-2105364</t>
  </si>
  <si>
    <t>Merly Jinneth Daza Verdugo</t>
  </si>
  <si>
    <t>https://drive.google.com/drive/folders/1mYE8ld2vs0x2xKUwRBn5HtNSQkGi8Ezf?usp=sharing</t>
  </si>
  <si>
    <t>https://drive.google.com/drive/folders/1gpBmL71PdMYFtmyHX76lrJd3SO8OlrUY?usp=sharing</t>
  </si>
  <si>
    <t>María Stella Ramírez Álvarez</t>
  </si>
  <si>
    <t>https://drive.google.com/drive/folders/1EpgJn6-OXdndrfG_SU5r5FgUKAUfUQ6v?usp=sharing</t>
  </si>
  <si>
    <t>LUIS FERNANDO SALAZAR FLORIÁN</t>
  </si>
  <si>
    <t>https://drive.google.com/drive/folders/1LcP-vKc3z0Z0Uq0N1s3moutgZetpXddl?usp=sharing</t>
  </si>
  <si>
    <t>3156545165-3192101517 Wpp</t>
  </si>
  <si>
    <t>MANUEL ALEJANDRO GUTIERREZ MUÑOZ</t>
  </si>
  <si>
    <t>https://drive.google.com/drive/folders/1ofop92PWi33jctWUKiMDz-VeM2M9latd?usp=sharing</t>
  </si>
  <si>
    <t>Karen Lambraño Gonzalez</t>
  </si>
  <si>
    <t>https://drive.google.com/drive/folders/1rWqkjYZqU3NPfl8BzaciwuAfzaGpCaN5?usp=sharing</t>
  </si>
  <si>
    <t>Sandra Milena Zabala Martin</t>
  </si>
  <si>
    <t>https://drive.google.com/drive/folders/1DGSI_n7fz5-GxkklGRuZmsZfHs3bdtjq?usp=sharing</t>
  </si>
  <si>
    <t>301 3786087</t>
  </si>
  <si>
    <t>Carol Xiomara Cruz Hernández</t>
  </si>
  <si>
    <t>https://drive.google.com/drive/folders/12dHLXyCREkgO8JqKBBAH1RhpiAQ0AfLk?usp=sharing</t>
  </si>
  <si>
    <t>MAGDA TAFUR SERRANA</t>
  </si>
  <si>
    <t>https://drive.google.com/drive/folders/1oAEvo64BAKbMB6n1pyHo8W3jTVQ9sIXo?usp=sharing</t>
  </si>
  <si>
    <t>320 889 84 11</t>
  </si>
  <si>
    <t>Jhon Alberto Cordoba Estacio</t>
  </si>
  <si>
    <t>Juan Carlos Correa Mendez</t>
  </si>
  <si>
    <t>RCE_260212_51</t>
  </si>
  <si>
    <t>Laura Daniela Bravo Rojas</t>
  </si>
  <si>
    <t>https://drive.google.com/drive/folders/17xkrMjIMwuUwVZ4xAlqLF7YFIk2M2ayL?usp=sharing</t>
  </si>
  <si>
    <t>Yullie Nataly Canchon Lopez</t>
  </si>
  <si>
    <t>https://drive.google.com/drive/folders/1pp5MWYWPTL_XginRy2-pZjmVkqcn6ril?usp=sharing</t>
  </si>
  <si>
    <t>Mileidy Catalina Parra Paez</t>
  </si>
  <si>
    <t>https://drive.google.com/drive/folders/1N6fuxQUfoeORnv5oAcheaSglQit4XgRq?usp=sharing</t>
  </si>
  <si>
    <t>322 460 1257</t>
  </si>
  <si>
    <t>Yeimi Katherine Martinez Cifuentes</t>
  </si>
  <si>
    <t>https://drive.google.com/drive/folders/178FvzX9_jWds-OmHDjnigPBbs3svhTlJ?usp=sharing</t>
  </si>
  <si>
    <t>Puerto Leguízamo</t>
  </si>
  <si>
    <t>Buenaventura</t>
  </si>
  <si>
    <t>Tumaco</t>
  </si>
  <si>
    <t>Mercaderes</t>
  </si>
  <si>
    <t>La Estrella</t>
  </si>
  <si>
    <t>Funza</t>
  </si>
  <si>
    <t>Ipiales</t>
  </si>
  <si>
    <t>Acacías</t>
  </si>
  <si>
    <t>Calamar</t>
  </si>
  <si>
    <t>Gualmatan</t>
  </si>
  <si>
    <t>RCE_260213_53</t>
  </si>
  <si>
    <t>Yorely Andrea Daza Imbachi</t>
  </si>
  <si>
    <t>https://drive.google.com/drive/folders/1MLBGEpBo8TP2_7S7uXPA-an3JY8dDCuB?usp=sharing</t>
  </si>
  <si>
    <t>Maria Leney Patiño Zapata</t>
  </si>
  <si>
    <t>https://drive.google.com/drive/folders/1utQcc0BjpsWM1eXi8j04Pl-rZlfbF4tA?usp=sharing</t>
  </si>
  <si>
    <t>3128734920 - 3024074152</t>
  </si>
  <si>
    <t>Policarpa</t>
  </si>
  <si>
    <t>Santa rosa de osos</t>
  </si>
  <si>
    <t>Rionegro</t>
  </si>
  <si>
    <t>Málaga</t>
  </si>
  <si>
    <t xml:space="preserve"> https://drive.google.com/drive/folders/1dzvi40GQIa3Nfu08L7D--FZmg_J4AF56</t>
  </si>
  <si>
    <t>RCE_260213_52</t>
  </si>
  <si>
    <t>Mauricio Andres Cuastumal</t>
  </si>
  <si>
    <t>https://drive.google.com/drive/folders/1tldSidiy5CWQ3ov0Lub0FzbSqJ7OmAbh?usp=sharing</t>
  </si>
  <si>
    <t>Jairo Javier Anaya Barrios</t>
  </si>
  <si>
    <t>https://drive.google.com/drive/folders/1A6nTtO0eeVcptNhDbO-FDBmYyJzBklJ8?usp=sharing</t>
  </si>
  <si>
    <t>3143807141 - 3127935094</t>
  </si>
  <si>
    <t>El Bagre</t>
  </si>
  <si>
    <t>KAREN VIVIANA CORTÉS GARZÓN</t>
  </si>
  <si>
    <t>https://drive.google.com/drive/folders/1KKkoZwaGvaGorkj3h-jIZKAfssL2HAkU?usp=sharing</t>
  </si>
  <si>
    <t>RCE_260217_54</t>
  </si>
  <si>
    <t>Francisco Jose Yepes Vaca</t>
  </si>
  <si>
    <t>https://drive.google.com/drive/folders/10d8-c8FdmSMuhQtU4vM2rOztbhtH8bMt?usp=sharing</t>
  </si>
  <si>
    <t>313 750 5896</t>
  </si>
  <si>
    <t>3/02/2026
13/02/2026</t>
  </si>
  <si>
    <t>RCE_260209_44
RCE_260217_54</t>
  </si>
  <si>
    <t>RCE_260217_55</t>
  </si>
  <si>
    <t>RCE_260131_37
RCE_260217_55</t>
  </si>
  <si>
    <t>28/01/2026
13/02/2026</t>
  </si>
  <si>
    <t>CARMEN LETICIA ESTRADA MESTRE</t>
  </si>
  <si>
    <t>https://drive.google.com/drive/folders/1zdpmqAXsc9gUUtr7Wvovs9iHRqLpbJdX?usp=sharing</t>
  </si>
  <si>
    <t>MARGELYS SERPA URIETA</t>
  </si>
  <si>
    <t>https://drive.google.com/drive/folders/1z6J-vbH1ZE5eMsBVJ60-F6jFjJKNbHbj?usp=sharing</t>
  </si>
  <si>
    <t>Juan Andrés LagosTorres</t>
  </si>
  <si>
    <t>https://drive.google.com/drive/folders/19qexJhKJ-GsFk7lh1b7dLIA_a3Wg5k2f?usp=sharing</t>
  </si>
  <si>
    <t>DELIA INES BARRIOS CHARRIS</t>
  </si>
  <si>
    <t>https://drive.google.com/drive/folders/1tv4YrQGgCxVXHmMr0aiGWesWYZJgdbes?usp=sharing</t>
  </si>
  <si>
    <t>3006593886 – 3156221830</t>
  </si>
  <si>
    <t>GUSTAVO ALBERTO QUINTANILLA TORRADO</t>
  </si>
  <si>
    <t>https://drive.google.com/drive/folders/1CqG5XMOVPmqJ69mzapLAy_VrYRMp5Cuj?usp=sharing</t>
  </si>
  <si>
    <t>GLADYS GUERRERO GONZALEZ</t>
  </si>
  <si>
    <t>https://drive.google.com/drive/folders/1pnaJ_M8v6HeaCtSxzaKtO4qc1ctdULyn?usp=sharing</t>
  </si>
  <si>
    <t>NAYELY PALACIOS MURILLO</t>
  </si>
  <si>
    <t>https://drive.google.com/drive/folders/1_ZgTwOeVlRZckAYORKProIowHOMsR9BM?usp=sharing</t>
  </si>
  <si>
    <t>Hugo Hernan Baez Galeano</t>
  </si>
  <si>
    <t>https://drive.google.com/drive/folders/1JoVzGobB_AJd-N3jrRJ_uQGp9d3onISZ?usp=sharing</t>
  </si>
  <si>
    <t>Fabianny Romaña Marmolejo</t>
  </si>
  <si>
    <t>https://drive.google.com/drive/folders/18BHGP3HtCZqhxcPfXJ5HtlmDBAwVbhli?usp=sharing</t>
  </si>
  <si>
    <t>Paola Andrea Endo Urrea</t>
  </si>
  <si>
    <t>https://drive.google.com/drive/folders/1ifqhyAj2DNc-FJvAg_JAg-GW5xnX5EjU?usp=sharing</t>
  </si>
  <si>
    <t>320 9430213</t>
  </si>
  <si>
    <t>CINDY YULIETH BUITRAGO PENAGOS</t>
  </si>
  <si>
    <t>https://drive.google.com/drive/folders/1rx7_5gKa9436MBsJceRs2XJG5uYCgikD?usp=sharing</t>
  </si>
  <si>
    <t>JOHN ALEXANDER ROJAS ROBAYO</t>
  </si>
  <si>
    <t>https://drive.google.com/drive/folders/14ezdklVmv2YcuE2_OsK8V2qXiHaKz9Ip?usp=sharing</t>
  </si>
  <si>
    <t>KARINA OVALLE MUEGUES</t>
  </si>
  <si>
    <t>https://drive.google.com/drive/folders/1EqVuSVrQ8kHn3pBeu_um2aEBWukgwsUD?usp=sharing</t>
  </si>
  <si>
    <t>LINA MARCELA ROSERO MORALES</t>
  </si>
  <si>
    <t>https://drive.google.com/drive/folders/1kBXjnp-SYRy7Y79MIt9kGEa5Y6X-w9UU?usp=sharing</t>
  </si>
  <si>
    <t>NICOLÁS EDUARDO ALVAREZ OSORIO</t>
  </si>
  <si>
    <t>https://drive.google.com/drive/folders/1ZPs2fF1gllpRRToLqGgnM6lsRGYNDD0J?usp=sharing</t>
  </si>
  <si>
    <t>311 340 60 81</t>
  </si>
  <si>
    <t>Juan Daniel Tapias Garcia</t>
  </si>
  <si>
    <t>https://drive.google.com/drive/folders/14f4_9VT2AWtSWdR8ekXmdM5-81T6OyR5?usp=sharing</t>
  </si>
  <si>
    <t>Agustín Codazzi</t>
  </si>
  <si>
    <t>Certegui</t>
  </si>
  <si>
    <t>Medellín</t>
  </si>
  <si>
    <t>John Jairo Avellaneda Rivera</t>
  </si>
  <si>
    <t>https://drive.google.com/drive/folders/1UlC3AcrkJS0tA-e4PJAa7exmsRjHdUlS?usp=sharing</t>
  </si>
  <si>
    <t>310 791 5961</t>
  </si>
  <si>
    <t>RCE_260220_56</t>
  </si>
  <si>
    <t>RCE_260206_42
RCE_260220_56</t>
  </si>
  <si>
    <t>Luis Enrique Bravo Elvira</t>
  </si>
  <si>
    <t>https://drive.google.com/drive/folders/1s0DZ8tZDltM9munwcSiMpLZrjpC8PWrB?usp=sharing</t>
  </si>
  <si>
    <t>Gustavo Rodríguez Correa</t>
  </si>
  <si>
    <t>https://drive.google.com/drive/folders/1QP836_b7VegvsA62BkSb3epf4Ibg6LZK?usp=sharing</t>
  </si>
  <si>
    <t>Conny Libeth Gutierrez Fierro</t>
  </si>
  <si>
    <t>https://drive.google.com/drive/folders/1RMnVM98hyVcJ185KULXydnfl1Arjg4k-?usp=sharing</t>
  </si>
  <si>
    <t>Julian Camilo Conde Bonilla</t>
  </si>
  <si>
    <t>https://drive.google.com/drive/folders/1IwRchS1JPAAv90N_WUJbfH9XIN5Xc5K0?usp=sharing</t>
  </si>
  <si>
    <t>Cesar Alirio Rodriguez Garcia</t>
  </si>
  <si>
    <t>https://drive.google.com/drive/folders/1jWv8AetNT-bWx_OUyQpZUe-r2AP5lzVt?usp=sharing</t>
  </si>
  <si>
    <t>3143618888-3009918190</t>
  </si>
  <si>
    <t>FABIAN ANDRES REYES</t>
  </si>
  <si>
    <t>https://drive.google.com/drive/folders/1LehDR8zGzJixo0JAaCtyYVyOtwabp5_O?usp=sharing</t>
  </si>
  <si>
    <t>Andrés Alfonso Hurtado Acosta.</t>
  </si>
  <si>
    <t>https://drive.google.com/drive/folders/1X8o1U1hyFJjxmpYb80VCKnYk2td7aTIR?usp=sharing</t>
  </si>
  <si>
    <t>320 3476246</t>
  </si>
  <si>
    <t>Laura Camila Samboni Claros</t>
  </si>
  <si>
    <t>https://drive.google.com/drive/folders/1nAOeL7HI_a67r6Nka7fLH5ChzcEIQV2E?usp=sharing</t>
  </si>
  <si>
    <t>9/02/2026
13/02/2026</t>
  </si>
  <si>
    <t>EYMER MAURICIO OLARTE FRANCO</t>
  </si>
  <si>
    <t>https://drive.google.com/drive/folders/1pplkH45jOOETjC2UzclP_RY2xKwzXr9M?usp=sharing</t>
  </si>
  <si>
    <t>304 306 0731 / 3202772268</t>
  </si>
  <si>
    <t>NOREICY YISET NIEVES AMAYA</t>
  </si>
  <si>
    <t>https://drive.google.com/drive/folders/1OdXlVzrrIYR3EOftON3Vd5vW2XKp9cYp?usp=sharing</t>
  </si>
  <si>
    <t>Andrea Aguirre Rodriguez</t>
  </si>
  <si>
    <t>3123938136 /3044568349</t>
  </si>
  <si>
    <t>DELCY YISETH CASTRO CORTES</t>
  </si>
  <si>
    <t>https://drive.google.com/drive/folders/1P98iqOYdTCvRM86sEQ78-1yMbZM1lx8u?usp=sharing</t>
  </si>
  <si>
    <t>Adriana Marcela Álvarez Vega</t>
  </si>
  <si>
    <t>https://drive.google.com/drive/folders/142X4FG2UEQ_r-iuI0aDZe3BXDJldgqkj?usp=sharing</t>
  </si>
  <si>
    <t>RCE_260220_57</t>
  </si>
  <si>
    <t>MARISOL LUGO VALENCIA</t>
  </si>
  <si>
    <t>https://drive.google.com/drive/folders/1U9ND7_v41jjJHcdLRzPu6_bqUaxY-ITG?usp=sharing</t>
  </si>
  <si>
    <t>Jessica Alexandra Motta Alvarez</t>
  </si>
  <si>
    <t>https://drive.google.com/drive/folders/1I_OZtSjV1eshYX-HqlHUNdu0AgBJFV4I?usp=sharing</t>
  </si>
  <si>
    <t>Diana Patricia Hoyos Sanchez</t>
  </si>
  <si>
    <t>https://drive.google.com/drive/folders/1QdjLfkKD2ZpQesknfqeqD3VrIl-iIB3A?usp=sharing</t>
  </si>
  <si>
    <t>Dayron Ruiz Mena</t>
  </si>
  <si>
    <t>https://drive.google.com/drive/folders/1LigPn0Oa3TgAnP7KacdwM27VcDFtFkhF?usp=sharing</t>
  </si>
  <si>
    <t>Juan Esteban Salcedo Moreno</t>
  </si>
  <si>
    <t>https://drive.google.com/drive/folders/14DhZ8PeYVsBG1gzQ4CxEs8-CHlVsBkoF?usp=sharing</t>
  </si>
  <si>
    <t>Victoria Eugenia Mendez Velazquez</t>
  </si>
  <si>
    <t>https://drive.google.com/drive/folders/1Vc78QxblSjMWlq7Thq-6fgu3_JVXT5_-?usp=sharing</t>
  </si>
  <si>
    <t>Cristian Ronney Reyes Morales</t>
  </si>
  <si>
    <t>https://drive.google.com/drive/folders/1biH16cmcJwfZBmQPIXJcc2oPUbwZ9atf?usp=sharing</t>
  </si>
  <si>
    <t>MERCEDES YOMAIRA ORTEGA VILLOTA</t>
  </si>
  <si>
    <t>https://drive.google.com/drive/folders/1CH97Wac2N6RZhWPRKqnxWF6TQ0lAMTYc?usp=sharing</t>
  </si>
  <si>
    <t>JOHN MARIO PEÑA OTERO</t>
  </si>
  <si>
    <t>https://drive.google.com/drive/folders/1lY83-irk2MX0xsCubxkZxyroxje4brWQ?usp=sharing</t>
  </si>
  <si>
    <t>DANIEL MAURICIO CASTRO CABRERA</t>
  </si>
  <si>
    <t>https://drive.google.com/drive/folders/1TqKowxQAaxjApmX965D47WX1QxY-v2C6?usp=sharing</t>
  </si>
  <si>
    <t>Maria Lucia Silva Varona</t>
  </si>
  <si>
    <t>https://drive.google.com/drive/folders/1mkkBi20szbV_YrzmLYuMB1Va2VrwInGm?usp=sharing</t>
  </si>
  <si>
    <t>Luis Alberto Trejos Flórez</t>
  </si>
  <si>
    <t>https://drive.google.com/drive/folders/1YaVDVmEA5N68SBd8pF22BVGKxxYI8WL6?usp=sharing</t>
  </si>
  <si>
    <t>Luisa Fernanda Londoño Granada</t>
  </si>
  <si>
    <t>https://drive.google.com/drive/folders/16b8aXQQkBv3xtT8G-K_Ij8C9RM12yAux?usp=sharing</t>
  </si>
  <si>
    <t>LUIS FERNANDO CALDERON ALVARADO</t>
  </si>
  <si>
    <t>https://drive.google.com/drive/folders/1gwM7QVcV97ZHxepTPahQ8VmK0EAO5bp0?usp=sharing</t>
  </si>
  <si>
    <t>310311 5927</t>
  </si>
  <si>
    <t>Ariel Enrrique Herrera hurtado</t>
  </si>
  <si>
    <t>https://drive.google.com/drive/folders/1jhx8IyltMXVqzrDdXMbBTF09pB_Hvmez?usp=sharing</t>
  </si>
  <si>
    <t>3124926640 - 3154823801</t>
  </si>
  <si>
    <t>Carlos Fernando Vergara Bastidas</t>
  </si>
  <si>
    <t>https://drive.google.com/drive/folders/1S-9oR4qQHZQu9KT2ztAQGM21Bn3Ymcfm?usp=sharing</t>
  </si>
  <si>
    <t>3108717432 - 3203782417</t>
  </si>
  <si>
    <t>Johny Cuaspud huertas</t>
  </si>
  <si>
    <t>https://drive.google.com/drive/folders/1AT0FPE7Keq5aow-NgC2vGd_ohdpBFQ41?usp=sharing</t>
  </si>
  <si>
    <t>Carol Johanna Monroy Cardenas</t>
  </si>
  <si>
    <t>https://drive.google.com/drive/folders/1j1ahNT8LZiMSYWo0QIMRBxvut4T3KJrm?usp=sharing</t>
  </si>
  <si>
    <t>3102034100 - 3018367653</t>
  </si>
  <si>
    <t>Diana Santacruz Garcia</t>
  </si>
  <si>
    <t>https://drive.google.com/drive/folders/1F5Vct5yDnz0FLqYzQlmq7s8katg8inSo?usp=sharing</t>
  </si>
  <si>
    <t>Diana Marcela Zambrano Valenzuela</t>
  </si>
  <si>
    <t>https://drive.google.com/drive/folders/1DEwO21oqDegXo6v3V0cdhQWamOBN17Hn?usp=sharing</t>
  </si>
  <si>
    <t>Diego Alfonso Polania Suarez</t>
  </si>
  <si>
    <t>https://drive.google.com/drive/folders/1rTX7qVFVBRnr2Q-VQnX9JFR_COmfgTXU?usp=sharing</t>
  </si>
  <si>
    <t>MARTHA NURY TAPIA CANO</t>
  </si>
  <si>
    <t>https://drive.google.com/drive/folders/17tT4pmz0K_ADP4gqT_GQiAHi8NlHkjbP?usp=sharing</t>
  </si>
  <si>
    <t>314-4739311</t>
  </si>
  <si>
    <t>Sandra Milena Rojas Segura</t>
  </si>
  <si>
    <t>https://drive.google.com/drive/folders/1-upPSjqyixH8h-HmbMnukrRg_8D_esw0?usp=sharing</t>
  </si>
  <si>
    <t>Leidy Johanna Velasquez Cordoba</t>
  </si>
  <si>
    <t>https://drive.google.com/drive/folders/1Kb2ggjEZ4PoolqR-Ay_AHlZMRLSwlFBh?usp=sharing</t>
  </si>
  <si>
    <t>STIVEN JULIAN MUÑOZ PALMA</t>
  </si>
  <si>
    <t>https://drive.google.com/drive/folders/1T5BGKuTzCUX8QU5F8hfR_DDUmbogN1By?usp=sharing</t>
  </si>
  <si>
    <t>Alex Nelson Trujillo Pinto</t>
  </si>
  <si>
    <t>https://drive.google.com/drive/folders/1SUTXeGUahWQebcSvArYrL4A1POQWAtDL?usp=sharing</t>
  </si>
  <si>
    <t>Hector Julio Serna Valencia</t>
  </si>
  <si>
    <t>https://drive.google.com/drive/folders/1oF9kX3kkg9p1OwP7SSR-Ga-XMD5kEJvN?usp=sharing</t>
  </si>
  <si>
    <t>LAURA MARCELA OSORIO CARDOSO</t>
  </si>
  <si>
    <t>https://drive.google.com/drive/folders/18WPuwpkb8xLyUlzp6o7dFhye1AOLCgMp?usp=sharing</t>
  </si>
  <si>
    <t>QUIRIA REGINA POMARICO CERDA</t>
  </si>
  <si>
    <t>https://drive.google.com/drive/folders/17DKs52ndNkQYdHbyAphO1s41bUr5bTo0?usp=sharing</t>
  </si>
  <si>
    <t>Garzón</t>
  </si>
  <si>
    <t>Campoalegre</t>
  </si>
  <si>
    <t>Cartago</t>
  </si>
  <si>
    <t>San José del Guaviare</t>
  </si>
  <si>
    <t>Rivera</t>
  </si>
  <si>
    <t>Puerres</t>
  </si>
  <si>
    <t>Íquira</t>
  </si>
  <si>
    <t>Morales</t>
  </si>
  <si>
    <t>Plato</t>
  </si>
  <si>
    <t>Juan José Ortiz Rodríguez</t>
  </si>
  <si>
    <t>Oscar Fernando Atagualpa Charry</t>
  </si>
  <si>
    <t>Víctor Javier Polo Rojas</t>
  </si>
  <si>
    <t>Nancy Rocío Araujo Silva</t>
  </si>
  <si>
    <t>RCE_260220_59</t>
  </si>
  <si>
    <t xml:space="preserve">Karen Vanessa Laverde Angulo. </t>
  </si>
  <si>
    <t>https://drive.google.com/drive/folders/1gvubUHDSVkaZ6X27RTnSoVdb5MJDvI3G?usp=sharing</t>
  </si>
  <si>
    <t>RCE_260217_54
RCE_260220_59</t>
  </si>
  <si>
    <t>13/02/2026
18/02/2026</t>
  </si>
  <si>
    <t>https://drive.google.com/drive/folders/1imaJKsFubWW6upkNDQ8FskKT42YS-4HT?usp=sharing</t>
  </si>
  <si>
    <t>https://drive.google.com/drive/folders/1ppInKb9DkUqK05kyQpHo4DZhH3u1Y2-c?usp=sharing</t>
  </si>
  <si>
    <t>https://drive.google.com/drive/folders/1r44y_CdPhOmaPTVEwAgeJjYLT1W-iwaq?usp=sharing</t>
  </si>
  <si>
    <t>https://drive.google.com/drive/folders/1r1IT0tn-GoVOdan2TRJQ5PlBThfymFXB?usp=sharing</t>
  </si>
  <si>
    <t>305 720 2353</t>
  </si>
  <si>
    <t>Anuar Fernando Amar Zuñiga</t>
  </si>
  <si>
    <t>Oscar Iván Losada López</t>
  </si>
  <si>
    <t>Lina Alexandra Meza</t>
  </si>
  <si>
    <t>RCE_260205_40
RCE_260223_61</t>
  </si>
  <si>
    <t>https://drive.google.com/drive/folders/1FNWZ0Kq6g4_tfi7XPsE04IUdLUIgrLPG?usp=sharing</t>
  </si>
  <si>
    <t>https://drive.google.com/drive/folders/1z9GjjCKXXSCsYSDK_1wx3yPLYkbbAdGO?usp=sharing</t>
  </si>
  <si>
    <t>https://drive.google.com/drive/folders/1N-UizPzl0oV__OPC_f9sP1-V2H6ML2YC?usp=sharing</t>
  </si>
  <si>
    <t>313 355 3603</t>
  </si>
  <si>
    <t> RCE_260223_62</t>
  </si>
  <si>
    <t>Yaguara</t>
  </si>
  <si>
    <t xml:space="preserve">Erwin Julián Carrero Bermúdez </t>
  </si>
  <si>
    <t xml:space="preserve">María Del Socorro Pérez Díaz </t>
  </si>
  <si>
    <t xml:space="preserve">Cristian Vargas Roa </t>
  </si>
  <si>
    <t xml:space="preserve">Carlos Hernan Celis Floriano </t>
  </si>
  <si>
    <t xml:space="preserve">Rodrigo Alfonso Imues Orozco </t>
  </si>
  <si>
    <t xml:space="preserve">Diana Marcela Marinez Velandia </t>
  </si>
  <si>
    <t xml:space="preserve">Manuel Mauricio Gutiérrez Tovar </t>
  </si>
  <si>
    <t xml:space="preserve">Héctor Alexander Solano González </t>
  </si>
  <si>
    <t xml:space="preserve">Lina Yineth Carrillo Lozano </t>
  </si>
  <si>
    <t>Ronald Felipe Peña Cely</t>
  </si>
  <si>
    <t>RCE_260224_63</t>
  </si>
  <si>
    <t>https://drive.google.com/drive/folders/1oG3WC1IWi8H0_F_Np8xT8oQ-Mumut5cL?usp=sharing</t>
  </si>
  <si>
    <t>https://drive.google.com/drive/folders/1nlJIvAWqUdwp8Rc8IGWCd0IecKZr9mz0?usp=sharing</t>
  </si>
  <si>
    <t>https://drive.google.com/drive/folders/13OfXX_Tu69dPsO88qDbqfQ4vgm94Jzf2?usp=sharing</t>
  </si>
  <si>
    <t>https://drive.google.com/drive/folders/1EDAC0yGix88u7Byv-kCeGmcI4hd2pjI8?usp=sharing</t>
  </si>
  <si>
    <t>https://drive.google.com/drive/folders/13VaJECnr5OjOhj8OZQ4XWlszeWqX3tfL?usp=sharing</t>
  </si>
  <si>
    <t>https://drive.google.com/drive/folders/1SA_tsCijZdDNlEuhKXTQdZbUDjkc0yAF?usp=sharing</t>
  </si>
  <si>
    <t>https://drive.google.com/drive/folders/17xuuGkbS_HrmMqXa0nV-CskzyAkRHz_-?usp=sharing</t>
  </si>
  <si>
    <t>https://drive.google.com/drive/folders/1k1wBFwynQHumiQEXTamDJH5qTZLPg5xv?usp=sharing</t>
  </si>
  <si>
    <t>https://drive.google.com/drive/folders/1vhJpeY4VqiOwYzZvxEr-Zo7ZAKjd22nt?usp=sharing</t>
  </si>
  <si>
    <t>https://drive.google.com/drive/folders/1qwpw5qONbVF-n3R0qkNvMgCyKb7sqZVj?usp=sharing</t>
  </si>
  <si>
    <t>Cartagena de Indias</t>
  </si>
  <si>
    <t>San Jose del Guaviare</t>
  </si>
  <si>
    <t>Orito</t>
  </si>
  <si>
    <t>Palermo</t>
  </si>
  <si>
    <t>https://drive.google.com/drive/folders/1yXCF8l1YQDbVODrwx5urWVkZPIRXGlRs?usp=sharing</t>
  </si>
  <si>
    <t>Blanca Jeannette Jimenez Angel</t>
  </si>
  <si>
    <t>https://drive.google.com/drive/folders/18QXOsBcht2k9ULBONnBFsbN0AzbMwQEn?usp=sharing</t>
  </si>
  <si>
    <t xml:space="preserve">Jean Ruth León Morales </t>
  </si>
  <si>
    <t xml:space="preserve">Jeniffer González Parra </t>
  </si>
  <si>
    <t xml:space="preserve">Paola Andrea Charry Muñoz </t>
  </si>
  <si>
    <t>https://drive.google.com/drive/folders/1VOTo8jAfUW4tIltIoK-1CCDDTNOnOX0V?usp=sharing</t>
  </si>
  <si>
    <t>https://drive.google.com/drive/folders/1ysXNF6WMORjaN_91GdFw1AO0h4mPM6Ko?usp=sharing</t>
  </si>
  <si>
    <t>https://drive.google.com/drive/folders/1D9v34cOEZS5C3ErEVs0J7H_EdK11oUXt?usp=sharing</t>
  </si>
  <si>
    <t> RCE_260227_66</t>
  </si>
  <si>
    <t>RCE_260224_63
 RCE_260227_66</t>
  </si>
  <si>
    <t>RCE_260131_37
 RCE_260227_66</t>
  </si>
  <si>
    <t>28/01/2026
20/02/2026</t>
  </si>
  <si>
    <t xml:space="preserve">Diego Fernando Lalinde Sánchez </t>
  </si>
  <si>
    <t> RCE_260228_68 </t>
  </si>
  <si>
    <t>https://drive.google.com/drive/folders/1B4TYmOxxT-_e-ZoSCYynMskZGPXMVYwJ?usp=sharing</t>
  </si>
  <si>
    <t>Zamir Alfonso Arévalo López</t>
  </si>
  <si>
    <t>ALVARO LORZA PITT</t>
  </si>
  <si>
    <t>LUISA FERNANDA GORDILLO RAMIREZ</t>
  </si>
  <si>
    <t>https://drive.google.com/drive/folders/1VzcMQmEBL4u_08Ru15sFVXWnSGLk8M66?usp=sharing</t>
  </si>
  <si>
    <t>https://drive.google.com/drive/folders/1sqdjmuxlKc0xNgoi7_fI35DWmsdSDzi7?usp=sharing</t>
  </si>
  <si>
    <t>https://drive.google.com/drive/folders/1abUt9H4pTlH0eJ1XF88i_0u5QaKcLCLe?usp=sharing</t>
  </si>
  <si>
    <t>312 3929444</t>
  </si>
  <si>
    <t> RCE_260304_71</t>
  </si>
  <si>
    <t>HÉCTOR GABRIEL ORTIZ SOLANO</t>
  </si>
  <si>
    <t>CARLOS AUGUSTO RUIZ GONZALEZ</t>
  </si>
  <si>
    <t>Cristhian Camilo Salas Cardozo</t>
  </si>
  <si>
    <t>José Fernando Dussán Díaz</t>
  </si>
  <si>
    <t>THALIA FERNANDA SEQUEDA</t>
  </si>
  <si>
    <t>INDHIRA PATRICIA RAMOS ROJAS</t>
  </si>
  <si>
    <t>CARMEN CECILIA CASALINS ROMERO</t>
  </si>
  <si>
    <t>CHRISTIAN JAVIER QUIÑONES A.</t>
  </si>
  <si>
    <t>DIANA MARIA LOPEZ RAMIREZ</t>
  </si>
  <si>
    <t>DANIEL FERNANDO SANCHEZ WUALTEROS</t>
  </si>
  <si>
    <t>ADRIAN FERNANDO SUAREZ GARTNER</t>
  </si>
  <si>
    <t>YOHANA DARSI SIERRA HERNANDEZ</t>
  </si>
  <si>
    <t>MARINELLA SÁNCHEZ PARRA</t>
  </si>
  <si>
    <t>https://drive.google.com/drive/folders/10IEFd2AbsBruyfyWzOlhYQqf3dTQBwqV?usp=sharing</t>
  </si>
  <si>
    <t>8645667-3144710291</t>
  </si>
  <si>
    <t>https://drive.google.com/drive/folders/1jjhMMJYcUPEM9zXcJb9opySXgbAnCDIJ?usp=sharing</t>
  </si>
  <si>
    <t>https://drive.google.com/drive/folders/1ozdKGPMCEyjoPRn_TTTRgca6lwYDTrYk?usp=sharing</t>
  </si>
  <si>
    <t>3208213366 - 3006179152</t>
  </si>
  <si>
    <t>https://drive.google.com/drive/folders/1N4dcEjZy1T9dPtG-mr8Ch7OC-OOZXqgs?usp=sharing</t>
  </si>
  <si>
    <t>3163978877 - 3107871859</t>
  </si>
  <si>
    <t>https://drive.google.com/drive/folders/1jfHbPMLa4qj3yUWtK8XVh1M71hP8dEmd?usp=sharing</t>
  </si>
  <si>
    <t>https://drive.google.com/drive/folders/18l1B6oUWsxUAp6jkQJap7Qk1yzaw8J41?usp=sharing</t>
  </si>
  <si>
    <t>https://drive.google.com/drive/folders/1nrHrggu9N2FNnHGUwtWDSLVJf_YpMq6J?usp=sharing</t>
  </si>
  <si>
    <t>https://drive.google.com/drive/folders/13LiyMHiKG3PcFnCeQulhISYolbZa11p7?usp=sharing</t>
  </si>
  <si>
    <t>https://drive.google.com/drive/folders/1Zyxq-FSyXpJk-tv_sQMZbOUctMGC3Us8?usp=sharing</t>
  </si>
  <si>
    <t>https://drive.google.com/drive/folders/1B2_TToDclpQuYi00j9FKskawk5_gf0kC?usp=sharing</t>
  </si>
  <si>
    <t>https://drive.google.com/drive/folders/1L2LqDJNxeUkDVCQt3wFUjChQ8NIZih6n?usp=sharing</t>
  </si>
  <si>
    <t>https://drive.google.com/drive/folders/1uiKjNUB0QQuNtuzMQfDOC39eoiPdwJjv?usp=sharing</t>
  </si>
  <si>
    <t>https://drive.google.com/drive/folders/1rkSrfVhrjgS_Ez1KnRbpjaJYaFDok1wE?usp=sharing</t>
  </si>
  <si>
    <t>3219991956-3209015717</t>
  </si>
  <si>
    <t>RCE_260304_70</t>
  </si>
  <si>
    <t>7/01/2026
03/02/2026
03/03/2026</t>
  </si>
  <si>
    <t>Maira Casas Rodriguez</t>
  </si>
  <si>
    <t>Carlos Andres Pinto Duque</t>
  </si>
  <si>
    <t>Angelo Giovanni Santos Muñoz</t>
  </si>
  <si>
    <t>Maribel Moreno Escobar</t>
  </si>
  <si>
    <t>https://drive.google.com/drive/folders/1yTI_wZZfGIb0B4v6Zn3D15RgmMKKu_Rd?usp=sharing</t>
  </si>
  <si>
    <t>https://drive.google.com/drive/folders/1Gm_Dy0hSejRiYTFQQVDYgbnDp4NVqlH5?usp=sharing</t>
  </si>
  <si>
    <t>https://drive.google.com/drive/folders/1KqlbHuZMdmxPMVDLqZ24_xJHxcLTFv0Y?usp=sharing</t>
  </si>
  <si>
    <t>https://drive.google.com/drive/folders/156_5ov1yvfEs2ZBVAp65HH4Kr4xMHZ48?usp=sharing</t>
  </si>
  <si>
    <t>https://drive.google.com/drive/folders/1gj_DFcERPUJ0ycrXevebvtAYgb8lVC7O?usp=sharing</t>
  </si>
  <si>
    <t>https://drive.google.com/drive/folders/1H1XCM3vT0ijKwQ3rFAx-rl2RES8gJcOv?usp=sharing</t>
  </si>
  <si>
    <t> RCE_260318_75</t>
  </si>
  <si>
    <t>20/02/2026
16/03/2026</t>
  </si>
  <si>
    <t>RCE_260318_76</t>
  </si>
  <si>
    <t>RUBEN DARIO VILLADA PEREA</t>
  </si>
  <si>
    <t>CLAUDIA DIAZ TRIANA</t>
  </si>
  <si>
    <t>ANA ROSIRIS PUELLO NORIEGA</t>
  </si>
  <si>
    <t>CRISTIAN CAMILO CORTEZ SEQUEDA</t>
  </si>
  <si>
    <t>JESÚS DAVID MARTÍNEZ GUERRERO</t>
  </si>
  <si>
    <t>LILIANA TERESA BENÍTEZ ÁLVAREZ</t>
  </si>
  <si>
    <t>MILENA DEL CARMEN DURANGO R.</t>
  </si>
  <si>
    <t>zARNOL DANILO BUELVAS G.</t>
  </si>
  <si>
    <t>SANDRA LORENA PAZ GUTIÉRREZ</t>
  </si>
  <si>
    <t>ANDRES ALFONSO PINTO CORDOBA</t>
  </si>
  <si>
    <t>CLAUDIA JANETH ROBLES LÓPEZ</t>
  </si>
  <si>
    <t>LEONARDO FAVIO FUENTES RHÉNALS</t>
  </si>
  <si>
    <t>JESÚS RICARDO MÉNDEZ GAMARRA</t>
  </si>
  <si>
    <t>ERIKA PATRICIA RODRÍGUEZ PEREZ</t>
  </si>
  <si>
    <t>CARLOS JAVIER CONTRERAS DE HOYOS</t>
  </si>
  <si>
    <t>Dalgis del Pilar Sánchez Jiménez</t>
  </si>
  <si>
    <t>Sergio Roman Restrepo Bueno</t>
  </si>
  <si>
    <t>KAREN YULIETH BERMUDEZ VIEDA</t>
  </si>
  <si>
    <t>LEYDY EVONNE LOPEZ PALECHOR</t>
  </si>
  <si>
    <t>ANZULA NIÑO RUIZ</t>
  </si>
  <si>
    <t>DINA JULIETH FRANCO TORRES</t>
  </si>
  <si>
    <t>CLAUDIA MARCELA CASTAÑO GONZÁLEZ</t>
  </si>
  <si>
    <t>RUBI ENITH ROJAS CORDOBA</t>
  </si>
  <si>
    <t>DORIAN ELECER BARANDICA CARVAJAL</t>
  </si>
  <si>
    <t>BLANCA RUBIELA CUBIDES LOPEZ</t>
  </si>
  <si>
    <t>PEDRO ENRIQUE WATTS FERNANDEZ</t>
  </si>
  <si>
    <t>YONIER SAMIR FERNANDEZ LEON</t>
  </si>
  <si>
    <t>YECENIA MENA CÓRDOBA</t>
  </si>
  <si>
    <t>LORLEYVIS MACHADO CAICEDO</t>
  </si>
  <si>
    <t>Jenny Liliana Giraldo Marin</t>
  </si>
  <si>
    <t>Dairo Alberto Henao Ramirez</t>
  </si>
  <si>
    <t>Luz Nancy Gomez Cardenas</t>
  </si>
  <si>
    <t>https://drive.google.com/drive/folders/1dLWfY5LNpeBuLAKfNVq-ck7lwJ3y7zhg?usp=sharing</t>
  </si>
  <si>
    <t>https://drive.google.com/drive/folders/1Mldl7aab-edQnLNk9av50WS_JyU5mt2_?usp=sharing</t>
  </si>
  <si>
    <t>3143437579 - 3028438858</t>
  </si>
  <si>
    <t>https://drive.google.com/drive/folders/1EBYxxy6WLTcAfcHJM7LuoVULYsZKF2Bq?usp=sharing</t>
  </si>
  <si>
    <t>https://drive.google.com/drive/folders/1SyHvafwdoDvTgufRamYtXXnSsxgf6dDn?usp=sharing</t>
  </si>
  <si>
    <t>https://drive.google.com/drive/folders/15yu2sW_yqQ1hq_YCaf4PT3s7LfL8P3uQ?usp=sharing</t>
  </si>
  <si>
    <t>https://drive.google.com/drive/folders/1jX41qjT693O7cc7MIkHAsIXYzVgDrWXO?usp=sharing</t>
  </si>
  <si>
    <t>https://drive.google.com/drive/folders/1Au99cZoquveNW3Phx1qp5FsWL-N3afZg?usp=sharing</t>
  </si>
  <si>
    <t>https://drive.google.com/drive/folders/1nYOKTPWVkrtncnWjQAvWSEW8fyjKh0Hy?usp=sharing</t>
  </si>
  <si>
    <t>https://drive.google.com/drive/folders/1Yi-6oZjYJ_E4CBAIXnLoWMJUMKV25f97?usp=sharing</t>
  </si>
  <si>
    <t>https://drive.google.com/drive/folders/1tYuCUjZ0gsttNAf0dQ_51S0dGa6A3lLz?usp=sharing</t>
  </si>
  <si>
    <t>https://drive.google.com/drive/folders/1wUbiz3bbBMnaDwqZ0Y16vzL0UBjQLo0y?usp=sharing</t>
  </si>
  <si>
    <t>https://drive.google.com/drive/folders/1B0qwjj0xO9VVStCn76-q_H9ey_rGcsYJ?usp=sharing</t>
  </si>
  <si>
    <t>317 681 04 58</t>
  </si>
  <si>
    <t>https://drive.google.com/drive/folders/1xH1a7mu4p1pNKc6sMKTSTcTpS6xp29OA?usp=sharing</t>
  </si>
  <si>
    <t>https://drive.google.com/drive/folders/1Dpaom8thc9xUYc7w8La6o5ByKBWVhXDv?usp=sharing</t>
  </si>
  <si>
    <t>https://drive.google.com/drive/folders/1GlkTi2kH4XzvaB0nsxT6Xsguu0FEMmkP?usp=sharing</t>
  </si>
  <si>
    <t>https://drive.google.com/drive/folders/1OoZl3po0V8aLStTnuQJMQQxVgwGDEqvA?usp=sharing</t>
  </si>
  <si>
    <t>https://drive.google.com/drive/folders/1JsKUem9Ta2gDdasgUqXbJm-kOzVw6bgQ?usp=sharing</t>
  </si>
  <si>
    <t>https://drive.google.com/drive/folders/1eTjpDic2x4YtlRkmgU2x8JPK5o0Kwff6?usp=sharing</t>
  </si>
  <si>
    <t>https://drive.google.com/drive/folders/1Tj63MMlbl8W54KgTeiO17tV1VfWkwUWo?usp=sharing</t>
  </si>
  <si>
    <t>https://drive.google.com/drive/folders/1TWBevP9-YRK8bA22jvvJqSnQt3OwNuLF?usp=sharing</t>
  </si>
  <si>
    <t>310 5574417</t>
  </si>
  <si>
    <t>https://drive.google.com/drive/folders/1EGex_RJoo__ZICkryVVjtK0ntDDncj07?usp=sharing</t>
  </si>
  <si>
    <t>https://drive.google.com/drive/folders/17GRyaEweNyvpCN5J4LxmVt-pdab6DXx0?usp=sharing</t>
  </si>
  <si>
    <t>https://drive.google.com/drive/folders/1m5cT2UZF89k-e-Ua5VscDeu8-Ep-1yKV?usp=sharing</t>
  </si>
  <si>
    <t>https://drive.google.com/drive/folders/1RJKPWkUylsXMTbtd3O-GgFf2WhO1kz6a?usp=sharing</t>
  </si>
  <si>
    <t>https://drive.google.com/drive/folders/1682ucS_kuRLY5KIoS2ax_Qo7PBl_6yMO?usp=sharing</t>
  </si>
  <si>
    <t>311 726 6455</t>
  </si>
  <si>
    <t>https://drive.google.com/drive/folders/1r062__69yS3bUkK11teBD89cMPmIHfRI?usp=sharing</t>
  </si>
  <si>
    <t>https://drive.google.com/drive/folders/1Sld_Sbbv0JlwboEK7Tkkszo9bvsgbd7G?usp=sharing</t>
  </si>
  <si>
    <t>https://drive.google.com/drive/folders/10N6nHv-D8H-PDxfLf7uEl89UexzXgKLP?usp=sharing</t>
  </si>
  <si>
    <t>https://drive.google.com/drive/folders/11Y-NusdShMroU2xrVpxgQramkvJQPKJO?usp=sharing</t>
  </si>
  <si>
    <t>https://drive.google.com/drive/folders/1norfYiRxpNF8VYJYuV83gb2YqB80CvxY?usp=sharing</t>
  </si>
  <si>
    <t>https://drive.google.com/drive/folders/1i6GvPnH_pwUDGWsdt96wiZCIsQCKphuZ?usp=sharing</t>
  </si>
  <si>
    <t>https://drive.google.com/drive/folders/11JyktD0BVp2mmRX3L98B4mV7fjzyD_Rz?usp=sharing</t>
  </si>
  <si>
    <t>https://drive.google.com/drive/folders/1fm0ky-ddmp84Ol4V-MLjr2StrkKmMdyH?usp=sharing</t>
  </si>
  <si>
    <t xml:space="preserve">RCE_260305_72
RCE_260318_76
</t>
  </si>
  <si>
    <t xml:space="preserve">https://drive.google.com/drive/folders/1RwFL2d6GEt6ssb5Le2zZcsqF9fnln8aD </t>
  </si>
  <si>
    <t>7/01/2026
16/03/2026</t>
  </si>
  <si>
    <t>28/01/2026
16/03/2026</t>
  </si>
  <si>
    <t xml:space="preserve">10/03/2026 mediante oficio RAI_260310_7 </t>
  </si>
  <si>
    <t>José Eduardo León Sánchez</t>
  </si>
  <si>
    <t>Arnoldo Echeverria Torres</t>
  </si>
  <si>
    <t>Cindy Paola Sánchez Vasquez</t>
  </si>
  <si>
    <t>Serna Valencia Fabian Andrés</t>
  </si>
  <si>
    <t>Ahimelec Jácome Solano</t>
  </si>
  <si>
    <t>Marylu Avellaneda Camrgo</t>
  </si>
  <si>
    <t>Diosemel Plata Villamizar</t>
  </si>
  <si>
    <t>Yessica Méndez</t>
  </si>
  <si>
    <t>Cristhian Marcel Paz Castillo</t>
  </si>
  <si>
    <t>Martha Mora Guerrero</t>
  </si>
  <si>
    <t>Profesional de seguimiento e información</t>
  </si>
  <si>
    <t>Técnico administrativo regional de apoyo</t>
  </si>
  <si>
    <t>https://drive.google.com/drive/folders/1RSXEe5mKJaQfjjyIszozS4izfUc1drIU?usp=sharing</t>
  </si>
  <si>
    <t>https://drive.google.com/drive/folders/1JrntMK1SlbcZ2wAjnUftuY9gyBvS-LAW?usp=sharing</t>
  </si>
  <si>
    <t>https://drive.google.com/drive/folders/1QLM3Npbrsog_ywmjRjSIHDDXxSPdoWq7?usp=sharing</t>
  </si>
  <si>
    <t>https://drive.google.com/drive/folders/1bg4QKO9D1h-vZ6rV1A3TYb1bXcBxiLTb?usp=sharing</t>
  </si>
  <si>
    <t>https://drive.google.com/drive/folders/13li8muV78AQeZWEtbK7Z-NSs3MSzOygC?usp=sharing</t>
  </si>
  <si>
    <t>https://drive.google.com/drive/folders/1Dh55FHFBNhMgNmBQi-8aRrZxD85xJv5j?usp=sharing</t>
  </si>
  <si>
    <t>https://drive.google.com/drive/folders/1QDpkl3J1wwtu__Wz-HZzUMxepzjifzXU?usp=sharing</t>
  </si>
  <si>
    <t>https://drive.google.com/drive/folders/1_51rF-wSRvrp-xsdsgSsdkPK_5-jVkOI?usp=sharing</t>
  </si>
  <si>
    <t>https://drive.google.com/drive/folders/1Qb7CThVl7CxoOZCBP3CjkPSx411V2x_U?usp=sharing</t>
  </si>
  <si>
    <t>310 3509614 / 300 8976622</t>
  </si>
  <si>
    <t>310 3377155</t>
  </si>
  <si>
    <t>3216303077 - 3118489414</t>
  </si>
  <si>
    <t>Guainía</t>
  </si>
  <si>
    <t>Inírida</t>
  </si>
  <si>
    <t>Dos Soledad</t>
  </si>
  <si>
    <t>Castillo</t>
  </si>
  <si>
    <t>Popayan</t>
  </si>
  <si>
    <t>Convención</t>
  </si>
  <si>
    <t>RCE_260325_77</t>
  </si>
  <si>
    <t>RCE_260220_58</t>
  </si>
  <si>
    <t>RCE_260408_79</t>
  </si>
  <si>
    <t>Nahara Keyla Mussy Vega</t>
  </si>
  <si>
    <t>Jessica Lorena Martínez Espejo</t>
  </si>
  <si>
    <t>María José Pinzon Delgado</t>
  </si>
  <si>
    <t>Amarilis Buelvas Naranjo</t>
  </si>
  <si>
    <t>https://drive.google.com/drive/folders/1X92KO1GZgycpC-BUUpL9hGC3HDVBpIMs?usp=sharing</t>
  </si>
  <si>
    <t>Timana</t>
  </si>
  <si>
    <t>Purificacion</t>
  </si>
  <si>
    <t>https://drive.google.com/drive/folders/1nweZBxXRHcawBvpqJCijzct89Up1_Was?usp=sharing</t>
  </si>
  <si>
    <t>https://drive.google.com/drive/folders/1WN0tAJ4rWJABeiRwGDQ7Bes2aO_KbiHT?usp=sharing</t>
  </si>
  <si>
    <t>https://drive.google.com/drive/folders/17vatDRci4skYgrZccB0X0rBsjYGRhBVs?usp=sharing</t>
  </si>
  <si>
    <t>Chía</t>
  </si>
  <si>
    <t>Zipaquirá</t>
  </si>
  <si>
    <t>RCE_260211_48
RCE_260220_56 RCE_260318_75</t>
  </si>
  <si>
    <t>RCE_260105_7
RCE_260109_12 RCE_260408_79</t>
  </si>
  <si>
    <t>Etiquetas de fila</t>
  </si>
  <si>
    <t>Total general</t>
  </si>
  <si>
    <t>Cuenta de Respuesta aprobación</t>
  </si>
  <si>
    <t>Cuenta de NO aprobados</t>
  </si>
  <si>
    <t>Coordinación General Regional - 1 por región</t>
  </si>
  <si>
    <t>Rol</t>
  </si>
  <si>
    <t>Cantidad</t>
  </si>
  <si>
    <t>Coordinadores locales regionales (2 por región)</t>
  </si>
  <si>
    <t>Gestores</t>
  </si>
  <si>
    <t>Profesional Administrativo y Financiero  - 1 por región</t>
  </si>
  <si>
    <t>Profesional alianzas y conexión a mercados  - 1 por región</t>
  </si>
  <si>
    <t>Profesional de Logística y compra  - 5 por región</t>
  </si>
  <si>
    <t>Profesional de seguimiento e información  - 1 por región</t>
  </si>
  <si>
    <t>Profesional tallerista</t>
  </si>
  <si>
    <t>Técnicos Administrativos regional de Apoyo  - 3 por región</t>
  </si>
  <si>
    <t>NO</t>
  </si>
  <si>
    <t xml:space="preserve">Estatus </t>
  </si>
  <si>
    <t>Observaciones Validación de BD</t>
  </si>
  <si>
    <t>No Aprobado</t>
  </si>
  <si>
    <t>Activo</t>
  </si>
  <si>
    <t>Retirado</t>
  </si>
  <si>
    <t>En Base de Datos</t>
  </si>
  <si>
    <t>Sin Respuesta</t>
  </si>
  <si>
    <t>Retirado 04/03/2026</t>
  </si>
  <si>
    <t>Renunció al proceso</t>
  </si>
  <si>
    <t>Cambio de Rol</t>
  </si>
  <si>
    <t>Retirada 24/02/2026</t>
  </si>
  <si>
    <t>Renuncio al proceso</t>
  </si>
  <si>
    <t>Renuncia al proceso</t>
  </si>
  <si>
    <t>Perfil cumple tb Técnico administrativo regional de apoyo
Sin acceso</t>
  </si>
  <si>
    <t>Coordinadora Local Regional</t>
  </si>
  <si>
    <t>Renuncio al Proceso</t>
  </si>
  <si>
    <t>Retirado 02/03/2026</t>
  </si>
  <si>
    <t>Retirado 23/02/2026</t>
  </si>
  <si>
    <t>Retirado 09/02/2026</t>
  </si>
  <si>
    <t>Retirado 01/03/2026</t>
  </si>
  <si>
    <t>Ingresa 03-Mar</t>
  </si>
  <si>
    <t xml:space="preserve">No se pudo entablar contacto </t>
  </si>
  <si>
    <t xml:space="preserve">Perfil cumpleTécnico administrativo regional de apoyo
</t>
  </si>
  <si>
    <t>Retirada 17/02/2026</t>
  </si>
  <si>
    <t>Segundo apellido Machado</t>
  </si>
  <si>
    <t xml:space="preserve">Desiste del proceso </t>
  </si>
  <si>
    <t>RCE_260227_66</t>
  </si>
  <si>
    <t>En proceso de contratación</t>
  </si>
  <si>
    <t>Esta en 2 comunicados, no aprobado</t>
  </si>
  <si>
    <t>Contratado 20-Feb</t>
  </si>
  <si>
    <t>Retirado 17/02/2026</t>
  </si>
  <si>
    <t>Como Gestor 20-Feb</t>
  </si>
  <si>
    <t>No fue posible contratación, no contestó</t>
  </si>
  <si>
    <t>Retirado 26/02/2026</t>
  </si>
  <si>
    <t>Contratado 03-Mar</t>
  </si>
  <si>
    <t>Retirado 03/03/2026</t>
  </si>
  <si>
    <t>Elimino los documentos, ya los vuelve a cargar</t>
  </si>
  <si>
    <t xml:space="preserve">Desiste del proceso de contratacion </t>
  </si>
  <si>
    <t>Validar</t>
  </si>
  <si>
    <t>RCE_260109_13
RCE_260122_28</t>
  </si>
  <si>
    <t>RCE_260121_24
RCE_260127_33</t>
  </si>
  <si>
    <t>Riky Andrés Carrillo Cadena</t>
  </si>
  <si>
    <t>RCE_260410_81</t>
  </si>
  <si>
    <t>https://drive.google.com/drive/folders/1RQBfRYdZzXEYs-tGHykN4pt5FjItF8-Z?usp=sharing</t>
  </si>
  <si>
    <t>Quindio</t>
  </si>
  <si>
    <t>Boyaca</t>
  </si>
  <si>
    <t>Guaviare </t>
  </si>
  <si>
    <t>La guajira</t>
  </si>
  <si>
    <t>La Guajira</t>
  </si>
  <si>
    <t>Vanessa López León</t>
  </si>
  <si>
    <t>Heraclio Mejia Montalvo</t>
  </si>
  <si>
    <t>Armando Licona Castillo</t>
  </si>
  <si>
    <t>Reyneth Daren Ortiz Rocha</t>
  </si>
  <si>
    <t>Juan Carlos Villero Escobar</t>
  </si>
  <si>
    <t>Claudia Patricia Ramírez Cuellar</t>
  </si>
  <si>
    <t>Nestor Enrique Mendivil Delgado</t>
  </si>
  <si>
    <t>Fredy Iván Paz Perea</t>
  </si>
  <si>
    <t>Daniela Indira Parra Caro</t>
  </si>
  <si>
    <t>Sandro Jesús Gómez Uribe</t>
  </si>
  <si>
    <t>RCE_260420_83</t>
  </si>
  <si>
    <t>https://drive.google.com/drive/folders/1eKt8iJYNSaausAccC-cQksT_Lfhl-_qU?usp=sharing</t>
  </si>
  <si>
    <t>https://drive.google.com/drive/folders/1fRsJMty8G1fqGPgLc78PDwgugPgd2G0b?usp=sharing</t>
  </si>
  <si>
    <t>https://drive.google.com/drive/folders/1UkMLMXPjCf7mOXxwz5wW6otlHQYt8Ol8?usp=sharing</t>
  </si>
  <si>
    <t>https://drive.google.com/drive/folders/147F16wgGPWKQRajNtS5U7JirG9ja4foZ?usp=sharing</t>
  </si>
  <si>
    <t>https://drive.google.com/drive/folders/15KahGXeHq5DLR385ld63FoEEHPhGaVKf?usp=sharing</t>
  </si>
  <si>
    <t>https://drive.google.com/drive/folders/1G4ZRHqRvToaU_qNdqpGYFRyKWlhOljD0?usp=sharing</t>
  </si>
  <si>
    <t>https://drive.google.com/drive/folders/11CvhXdxiHwFHq_CDyUaLkC-pv9rT3JCy?usp=sharing</t>
  </si>
  <si>
    <t>https://drive.google.com/drive/folders/1bfHyKzCoTRwNVaijG_m5mf0U4rMPzmLK?usp=sharing</t>
  </si>
  <si>
    <t>https://drive.google.com/drive/folders/1Bq6rxrF-gLH_6y2vR_WUGtswTEnsLX5_?usp=sharing</t>
  </si>
  <si>
    <t>Vaupés</t>
  </si>
  <si>
    <t>Mitú</t>
  </si>
  <si>
    <t>No presenta</t>
  </si>
  <si>
    <t>Coloso</t>
  </si>
  <si>
    <t>´Bogotá</t>
  </si>
  <si>
    <t>Marta Cecilia Manchego Torres</t>
  </si>
  <si>
    <t>Oscar Luis Arias Jaraba</t>
  </si>
  <si>
    <t>Yovana Catalina Rincón Acero</t>
  </si>
  <si>
    <t>Ronald Yesid Palencia Vuelvas</t>
  </si>
  <si>
    <t>Juan David Suárez Becerra</t>
  </si>
  <si>
    <t xml:space="preserve">Imer Alberto Avendaño Tabaco </t>
  </si>
  <si>
    <t>RCE_260425_86</t>
  </si>
  <si>
    <t>https://drive.google.com/drive/folders/1VW2R_clEdmuIY5w8oC3gyULAfAuKBFNT?usp=sharing</t>
  </si>
  <si>
    <t>https://drive.google.com/drive/folders/1At8XkAr8afuOE1ndQriARlhyWmQXkWAY?usp=sharing</t>
  </si>
  <si>
    <t>https://drive.google.com/drive/folders/1Zuz3mIlqwkuHdyEyaRVjAgC3elO13oNc?usp=sharing</t>
  </si>
  <si>
    <t>https://drive.google.com/drive/folders/1L_9mFSZdxboQViamJEDTK2030bEcJT16?usp=sharing</t>
  </si>
  <si>
    <t>https://drive.google.com/drive/folders/11zfml86h3EvBTajNGOx71eFs2VRdaPAU?usp=sharing</t>
  </si>
  <si>
    <t>https://drive.google.com/drive/folders/1Eoq2oEkA_rDyMnNYp1anL0MK8riCfrrG?usp=sharing</t>
  </si>
  <si>
    <t>El carmen de Bolívar</t>
  </si>
  <si>
    <t>Aguadas</t>
  </si>
  <si>
    <t>San Luis de Palenque</t>
  </si>
  <si>
    <t>Álvaro José Flórez Álvarez</t>
  </si>
  <si>
    <t>Felipe Santiago Angulo Sanclemente</t>
  </si>
  <si>
    <t>Jaiber Jesús Arena Escorcia</t>
  </si>
  <si>
    <t>José Ricardo Pava Pava</t>
  </si>
  <si>
    <t>Héctor Andrey Vargas Acosta</t>
  </si>
  <si>
    <t>Kelly Sánchez Vergara</t>
  </si>
  <si>
    <t>Marwin Villegas Obregon</t>
  </si>
  <si>
    <t>Fabian De Jesús Acosta Moreno</t>
  </si>
  <si>
    <t>Omar Javier Ramos Tapia</t>
  </si>
  <si>
    <t>Sandra Rocío Pinto Acero</t>
  </si>
  <si>
    <t>RCE_260425_87</t>
  </si>
  <si>
    <t>https://drive.google.com/drive/folders/1J8kyscSw3eDzOGoeV5ex4F8S1T6JvPNS?usp=sharing</t>
  </si>
  <si>
    <t>https://drive.google.com/drive/folders/1t50_Uf68o3lbjsqlEPG_qcX1s-ZGVwo_?usp=sharing</t>
  </si>
  <si>
    <t>https://drive.google.com/drive/folders/1HVUPYPvAufnduz-GNWSXuiMcVws-aPer?usp=sharing</t>
  </si>
  <si>
    <t>https://drive.google.com/drive/folders/1S1aOvidHap8vf6fBx5fyj9fhFQXz48wS?usp=sharing</t>
  </si>
  <si>
    <t>https://drive.google.com/drive/folders/1kjbOPqBZ82BKtbUhvVIoEsmKCH2ksApM?usp=sharing</t>
  </si>
  <si>
    <t>https://drive.google.com/drive/folders/1ITRVjZiGhT7MExIr6hOvUQ1kOhhdmVU6?usp=sharing</t>
  </si>
  <si>
    <t>https://drive.google.com/drive/folders/1dK2G_LDGSfuzKK2aaR7hAD-2I_lhNFs1?usp=sharing</t>
  </si>
  <si>
    <t>https://drive.google.com/drive/folders/1CK2rffDq4yF7teXWNoN4r7NOZTZjC6Oy?usp=sharing</t>
  </si>
  <si>
    <t>https://drive.google.com/drive/folders/1gv7rtwX1KVlhVV80Y6s4BPiXkfePFeH4?usp=sharing</t>
  </si>
  <si>
    <t>https://drive.google.com/drive/folders/17BeDKfGZmlANjPsHwpAzB_jQPH9Kj_-Q?usp=sharing</t>
  </si>
  <si>
    <t>Sogamoso</t>
  </si>
  <si>
    <t>Santa Rosa del Sur</t>
  </si>
  <si>
    <t>3135710708 – 3182412171</t>
  </si>
  <si>
    <t>Yotoco</t>
  </si>
  <si>
    <t>Eliana Peñuela Vergara</t>
  </si>
  <si>
    <t xml:space="preserve">Jesús Manuel Martínez Cervantes </t>
  </si>
  <si>
    <t>Yaneth Emilia Villegas Gutiérrez</t>
  </si>
  <si>
    <t>Raquel Yulieth De La Cruz Reales</t>
  </si>
  <si>
    <t>Mario Josué Sandoval Gómez</t>
  </si>
  <si>
    <t>Ingrid Viviana Rodríguez Latorre</t>
  </si>
  <si>
    <t>Lisbeth Legarda Beltran</t>
  </si>
  <si>
    <t>https://drive.google.com/drive/folders/1AjtlFEp-zciO4Dw9IfxVVN2B0sGsNJN4?usp=sharing</t>
  </si>
  <si>
    <t>https://drive.google.com/drive/folders/1fayGHyvvi6kZ_YO4R_MUilyv6TZAN-HC?usp=sharing</t>
  </si>
  <si>
    <t>https://drive.google.com/drive/folders/1dEussDKs-80CBV8dJQwLe57IVYDh4szO?usp=sharing</t>
  </si>
  <si>
    <t>https://drive.google.com/drive/folders/1I0pF2bPWVCsyGnHn7vfA50lp9fFLgy7H?usp=sharing</t>
  </si>
  <si>
    <t>https://drive.google.com/drive/folders/1Qmhw0IaDWEDWObR5uewjSwYxQU4CCnUm?usp=sharing</t>
  </si>
  <si>
    <t>https://drive.google.com/drive/folders/1qQfjqRe_AvHd3LddKKmBuenVlQ0TfkEm?usp=sharing</t>
  </si>
  <si>
    <t>https://drive.google.com/drive/folders/1JZnYDEdR7sCOncl0kAE_MlAUL5hE1Lt1?usp=sharing</t>
  </si>
  <si>
    <t>Palocabildo</t>
  </si>
  <si>
    <t>RCE_260425_88</t>
  </si>
  <si>
    <t xml:space="preserve">Región </t>
  </si>
  <si>
    <t xml:space="preserve">Rol </t>
  </si>
  <si>
    <t>Profesional alianzas y conexión a mercados</t>
  </si>
  <si>
    <t>Coordinación General Regional</t>
  </si>
  <si>
    <t>Profesional de Logística y compra</t>
  </si>
  <si>
    <t>Técnicos Administrativos regional de Apoyo</t>
  </si>
  <si>
    <t>CANTIDAD MINIMA REQUERIDA CON ADICIÓN</t>
  </si>
  <si>
    <t>RCE_260511_92</t>
  </si>
  <si>
    <t>RCE_260511_91</t>
  </si>
  <si>
    <t>Claudia Isolina Gomez Garrido</t>
  </si>
  <si>
    <t>Nilson Andres Sabogal Diaz</t>
  </si>
  <si>
    <t>Nury Castaño Machado</t>
  </si>
  <si>
    <t>Fernando Bustos Rivera</t>
  </si>
  <si>
    <t>GESTOR</t>
  </si>
  <si>
    <t>https://drive.google.com/drive/folders/15AVTdEL0-BAVtGRW6CWpqx1mZMLqfz90?usp=sharing</t>
  </si>
  <si>
    <t>https://drive.google.com/drive/folders/1hYC6OPngB1EsCPPb4lQX9QP6mWQWCCkm?usp=sharing</t>
  </si>
  <si>
    <t>https://drive.google.com/drive/folders/1R-4lA_0gFw5Wr8-XYjYhZfi5II8dCBrd?usp=sharing</t>
  </si>
  <si>
    <t>https://drive.google.com/drive/folders/1nq2lsPlJ0uNZzJmL4Z-cqqeDBF39WQLx?usp=sharing</t>
  </si>
  <si>
    <t>SI</t>
  </si>
  <si>
    <t>Olger Pinto Restrepo</t>
  </si>
  <si>
    <t>Paula Andrea Salcedo Trujillo</t>
  </si>
  <si>
    <t>MONICA MILENA ALMECIGA REYES</t>
  </si>
  <si>
    <t>TALLERISTA</t>
  </si>
  <si>
    <t>https://drive.google.com/drive/folders/15MHZQm8olZYbkcEYVAaNaVwI6FYT3630?usp=sharing</t>
  </si>
  <si>
    <t>https://drive.google.com/drive/folders/1BRUn1DXzHNlkj_AAFwo3eOHlWzmnXvsT?usp=sharing</t>
  </si>
  <si>
    <t>https://drive.google.com/drive/folders/1oyUKRUQiV9o3M7EN4CMrjL7nuF2s1P0r?usp=sharing</t>
  </si>
  <si>
    <t>EDGAR GIOVANNI TRINIDAD PAREDES</t>
  </si>
  <si>
    <t>ALIANZAS Y CONEXION A MERCADOS</t>
  </si>
  <si>
    <t>GENNY ALFONSINA PUENTE MAUSSA</t>
  </si>
  <si>
    <t>MARTHA LEADRA CAMPO LEON</t>
  </si>
  <si>
    <t>Jackson Danilo Pérez Gómez</t>
  </si>
  <si>
    <t>JAIRO ALONSO SANCHEZ CARREÑO</t>
  </si>
  <si>
    <t>NASLY STELLA GOMEZ SANCHEZ</t>
  </si>
  <si>
    <t>HECTOR FABIO LONDOÑO GALVIS</t>
  </si>
  <si>
    <t>Yasser Gonzalez Ramos</t>
  </si>
  <si>
    <t>JULIETH PATRICIA DIAZ ALFONSO</t>
  </si>
  <si>
    <t>ELKIN JIMENEZ VILLAMIZAR</t>
  </si>
  <si>
    <t>PROFESIONAL ADMINISTRATIVO FINANCIERO</t>
  </si>
  <si>
    <t>IVAN SERRANO ARIAS</t>
  </si>
  <si>
    <t>LUIS RODRIGO JIMENEZ BOHORQUEZ</t>
  </si>
  <si>
    <t>PROFESIONAL DE LOGÍSTICA Y COMPRAS</t>
  </si>
  <si>
    <t>MIGUEL DARÍO CASARRUBIA PEÑATA</t>
  </si>
  <si>
    <t>NIDIA DEL CARMEN VALENCIA</t>
  </si>
  <si>
    <t>Narge Luis Vélez Villalobos</t>
  </si>
  <si>
    <t>TECNICO ADMINISTRATIVO REGIONAL DE APOYO</t>
  </si>
  <si>
    <t>Sandryd Tatiana García Rodríguez</t>
  </si>
  <si>
    <t>MAYERLI GARCIA FLOREZ</t>
  </si>
  <si>
    <t>https://drive.google.com/drive/folders/1rkQIdFt1WGlLYKjhqoFRbxQBNssFIaC6?usp=sharing</t>
  </si>
  <si>
    <t>https://drive.google.com/drive/folders/1oLe1zCQmHPYbfisOdpLqvkIZjIhSIAhq?usp=sharing</t>
  </si>
  <si>
    <t>https://drive.google.com/drive/folders/19U-sYfuMWPYvpq-EseO_D56TGAKFD_Rw?usp=sharing</t>
  </si>
  <si>
    <t>https://drive.google.com/drive/folders/180R98HGcQBwgxG8vm2-H4ChGsDu0j-XV?usp=sharing</t>
  </si>
  <si>
    <t>https://drive.google.com/drive/folders/1RrJH-MuSkpCyGslkvn7IJTLSeol2kvg7?usp=sharing</t>
  </si>
  <si>
    <t>https://drive.google.com/drive/folders/1B2Psekhu1jgtEOU-CYzs3z_Q_0PlKstw?usp=sharing</t>
  </si>
  <si>
    <t>https://drive.google.com/drive/folders/1ZSv7w7BNbikPmsmk6s9oi7NpoXLWuiHh?usp=sharing</t>
  </si>
  <si>
    <t>https://drive.google.com/drive/folders/1xgQZGQhuuamPYxKsan7XdLi8Z7swPnAe?usp=sharing</t>
  </si>
  <si>
    <t>https://drive.google.com/drive/folders/1anmw8HHSxJWxO4XXE2YeCIxUbrGlM12u?usp=sharing</t>
  </si>
  <si>
    <t>https://drive.google.com/drive/folders/10RUo45vSGDMnQzGC_nMk5sI48qqQE1_h?usp=sharing</t>
  </si>
  <si>
    <t>https://drive.google.com/drive/folders/1ZbFj6Oqb6pNmPcNtYyopfi8AGs19ol20?usp=sharing</t>
  </si>
  <si>
    <t>https://drive.google.com/drive/folders/1Cb0E56pcjUGZKg0BtSGmAoylsejlMJ8v?usp=sharing</t>
  </si>
  <si>
    <t>https://drive.google.com/drive/folders/1nRmFrzoeCb8KCg35ByPH2YgTy72O_u4j?usp=sharing</t>
  </si>
  <si>
    <t>https://drive.google.com/drive/folders/1i_FenY0A53_w6FWD2Klo_0hc-h92n_yW?usp=sharing</t>
  </si>
  <si>
    <t>https://drive.google.com/drive/folders/1WMDbcedLZsMrlhDATxBwMqRGLlBvjzD_?usp=sharing</t>
  </si>
  <si>
    <t>https://drive.google.com/drive/folders/1gOAQgiJWdtAz2zVaIo47a3Dp1bzqA0AX?usp=sharing</t>
  </si>
  <si>
    <t>https://drive.google.com/drive/folders/1baMB6wOqbkYAG958i6P_2smWvhlOyD4d?usp=sharing</t>
  </si>
  <si>
    <t>https://drive.google.com/drive/folders/1_AMPWLRLhs9UCuuoAp-qv8CkKyaAEt8e?usp=sharing</t>
  </si>
  <si>
    <t>300 835 8720</t>
  </si>
  <si>
    <t>3167984165 - 3167984165</t>
  </si>
  <si>
    <t>314 3891434</t>
  </si>
  <si>
    <t>3105893400-3168731730</t>
  </si>
  <si>
    <t>300 752 6449</t>
  </si>
  <si>
    <t>320 376 8900</t>
  </si>
  <si>
    <t>3245650363 - 3016631360</t>
  </si>
  <si>
    <t>3102167992 -. 3104767030</t>
  </si>
  <si>
    <t>RCE_260521_96</t>
  </si>
  <si>
    <t>RCE_260521_95</t>
  </si>
  <si>
    <t>DANIELA SALAZAR CHAVES</t>
  </si>
  <si>
    <t>DAIRO POZO MURGAS</t>
  </si>
  <si>
    <t>PROFESIONAL DE SEGUIMIENTO E INFORMACIÓN</t>
  </si>
  <si>
    <t>Daniela Marcela Muñoz De La Rosa</t>
  </si>
  <si>
    <t>Fredy Edilberto Moyano Jara</t>
  </si>
  <si>
    <t>Diana Marcela Duque Marín</t>
  </si>
  <si>
    <t>ROBINSON ARNOLDO RINCÓN QUINTERO</t>
  </si>
  <si>
    <t>RENGER MONROY PERILLA</t>
  </si>
  <si>
    <t>https://drive.google.com/drive/folders/16wH6NxnJMmSo8zwvWnTAhucha-H3tsQf?usp=sharing</t>
  </si>
  <si>
    <t>https://drive.google.com/drive/folders/11YRmQgybbJZAHo_jiLawi24Mxn8b1fql?usp=sharing</t>
  </si>
  <si>
    <t>https://drive.google.com/drive/folders/1qY92bVHLI145nKE3mIsV-9ow1m05nd42?usp=sharing</t>
  </si>
  <si>
    <t>https://drive.google.com/drive/folders/1AdSxOQWHki3W5ThnUvzxoJC6BOdvqwnk?usp=sharing</t>
  </si>
  <si>
    <t>https://drive.google.com/drive/folders/1wrLb6WVGkZNMn4-8fb5GpcYclshLPNrZ?usp=sharing</t>
  </si>
  <si>
    <t>https://drive.google.com/drive/folders/13wfadvEbCJIWQIUxECE1J5R4NJzPPpra?usp=sharing</t>
  </si>
  <si>
    <t>https://drive.google.com/drive/folders/1gT1Q_3bKK-B0IFTipcqObYj-WJ1A8ikj?usp=sharing</t>
  </si>
  <si>
    <t>RCE_260523_97</t>
  </si>
  <si>
    <t>RCE_260523_98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</si>
</sst>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d\-mmm\-yyyy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Arial"/>
      <family val="2"/>
    </font>
    <font>
      <u/>
      <sz val="7"/>
      <color theme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u/>
      <sz val="7"/>
      <name val="Arial"/>
      <family val="2"/>
    </font>
    <font>
      <sz val="7"/>
      <color rgb="FF1F1F1F"/>
      <name val="Arial"/>
      <family val="2"/>
    </font>
    <font>
      <sz val="7"/>
      <color rgb="FF000000"/>
      <name val="Arial"/>
      <family val="2"/>
    </font>
    <font>
      <b/>
      <sz val="7"/>
      <color rgb="FFFFB62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5" fontId="6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9" fontId="6" fillId="4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7" borderId="0" xfId="0" applyFont="1" applyFill="1"/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6" fillId="0" borderId="1" xfId="0" applyFont="1" applyBorder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3" applyNumberFormat="1" applyFont="1" applyBorder="1" applyAlignment="1">
      <alignment horizontal="center" vertical="center" wrapText="1"/>
    </xf>
    <xf numFmtId="0" fontId="8" fillId="0" borderId="0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2" borderId="1" xfId="0" applyFont="1" applyFill="1" applyBorder="1" applyAlignment="1">
      <alignment horizontal="left" vertical="center" wrapText="1"/>
    </xf>
    <xf numFmtId="0" fontId="13" fillId="3" borderId="1" xfId="3" applyNumberFormat="1" applyFont="1" applyFill="1" applyBorder="1" applyAlignment="1">
      <alignment horizontal="left" vertical="center" wrapText="1"/>
    </xf>
    <xf numFmtId="0" fontId="11" fillId="0" borderId="1" xfId="3" applyNumberFormat="1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164" fontId="14" fillId="2" borderId="1" xfId="0" applyNumberFormat="1" applyFont="1" applyFill="1" applyBorder="1" applyAlignment="1">
      <alignment horizontal="left" vertical="center" wrapText="1"/>
    </xf>
    <xf numFmtId="14" fontId="14" fillId="0" borderId="1" xfId="0" applyNumberFormat="1" applyFont="1" applyBorder="1" applyAlignment="1">
      <alignment horizontal="left" vertical="center" wrapText="1"/>
    </xf>
    <xf numFmtId="14" fontId="11" fillId="2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0" fontId="11" fillId="9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0" fontId="17" fillId="11" borderId="1" xfId="0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wrapText="1"/>
    </xf>
    <xf numFmtId="0" fontId="11" fillId="12" borderId="1" xfId="0" applyFont="1" applyFill="1" applyBorder="1" applyAlignment="1">
      <alignment horizontal="left" vertical="center" wrapText="1"/>
    </xf>
    <xf numFmtId="0" fontId="12" fillId="12" borderId="1" xfId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0" borderId="1" xfId="3" applyNumberFormat="1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165" fontId="6" fillId="5" borderId="6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5">
    <cellStyle name="Hipervínculo" xfId="1" builtinId="8"/>
    <cellStyle name="Hyperlink" xfId="4" xr:uid="{5D87BF44-9F71-41D0-8D53-E8F18CBA001C}"/>
    <cellStyle name="Millares" xfId="3" builtinId="3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solidado%20Hojas%20de%20vida%20recibidas%20Actualizado%2012%20MAY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solidado%20Hojas%20de%20vida%20recibidas%20Actualizado%2012%20MAYO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6.904978935185" createdVersion="8" refreshedVersion="8" minRefreshableVersion="3" recordCount="560" xr:uid="{B85E8D9B-167C-4AAD-B02B-136277B1A65B}">
  <cacheSource type="worksheet">
    <worksheetSource ref="B1:P561" sheet="Hojas de Vida Equipo ejecutor" r:id="rId2"/>
  </cacheSource>
  <cacheFields count="15">
    <cacheField name="Fecha de envio" numFmtId="0">
      <sharedItems containsDate="1" containsMixedTypes="1" minDate="2025-12-26T00:00:00" maxDate="2026-04-07T00:00:00"/>
    </cacheField>
    <cacheField name="Nombre completo" numFmtId="0">
      <sharedItems/>
    </cacheField>
    <cacheField name="Numero de cedula" numFmtId="0">
      <sharedItems containsSemiMixedTypes="0" containsString="0" containsNumber="1" containsInteger="1" minValue="2358332" maxValue="10618221167"/>
    </cacheField>
    <cacheField name="Cargo" numFmtId="0">
      <sharedItems count="9">
        <s v="Coordinador Local Regional"/>
        <s v="Gestor"/>
        <s v="Profesional Tallerista"/>
        <s v="Coordinador General Regional"/>
        <s v="Profesional Administrativo y Financiero"/>
        <s v="Profesional de logística y compra"/>
        <s v="Profesional de Seguimiento e Información"/>
        <s v="Técnico Administrativo Regional de Apoyo"/>
        <s v="Profesional de Alianzas y Conexión a Mercados "/>
      </sharedItems>
    </cacheField>
    <cacheField name="Enlace documentacion" numFmtId="0">
      <sharedItems/>
    </cacheField>
    <cacheField name="Celular" numFmtId="0">
      <sharedItems containsMixedTypes="1" containsNumber="1" containsInteger="1" minValue="0" maxValue="3508569237"/>
    </cacheField>
    <cacheField name="Región" numFmtId="0">
      <sharedItems containsSemiMixedTypes="0" containsString="0" containsNumber="1" containsInteger="1" minValue="1" maxValue="5" count="5">
        <n v="4"/>
        <n v="3"/>
        <n v="1"/>
        <n v="5"/>
        <n v="2"/>
      </sharedItems>
    </cacheField>
    <cacheField name="Departamento" numFmtId="0">
      <sharedItems containsMixedTypes="1" containsNumber="1" containsInteger="1" minValue="0" maxValue="0"/>
    </cacheField>
    <cacheField name="Municipio" numFmtId="0">
      <sharedItems/>
    </cacheField>
    <cacheField name="Respuesta aprobación" numFmtId="0">
      <sharedItems containsBlank="1"/>
    </cacheField>
    <cacheField name="NO aprobados" numFmtId="0">
      <sharedItems containsBlank="1"/>
    </cacheField>
    <cacheField name="Fecha de envío a Prosperidad" numFmtId="14">
      <sharedItems containsNonDate="0" containsDate="1" containsString="0" containsBlank="1" minDate="2026-01-13T00:00:00" maxDate="2026-02-24T00:00:00"/>
    </cacheField>
    <cacheField name="Aprobación" numFmtId="0">
      <sharedItems/>
    </cacheField>
    <cacheField name="Equipo Nacional/Regional" numFmtId="0">
      <sharedItems/>
    </cacheField>
    <cacheField name="Contrat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1.64178460648" createdVersion="8" refreshedVersion="8" minRefreshableVersion="3" recordCount="602" xr:uid="{CACF97FB-72D5-46AA-9097-FA6CD96B1BF2}">
  <cacheSource type="worksheet">
    <worksheetSource ref="B1:S592" sheet="Hojas de Vida Equipo ejecutor" r:id="rId2"/>
  </cacheSource>
  <cacheFields count="18">
    <cacheField name="Fecha de envio" numFmtId="0">
      <sharedItems containsDate="1" containsMixedTypes="1" minDate="2025-12-26T00:00:00" maxDate="2026-04-22T00:00:00"/>
    </cacheField>
    <cacheField name="Nombre completo" numFmtId="0">
      <sharedItems/>
    </cacheField>
    <cacheField name="Numero de cedula" numFmtId="0">
      <sharedItems containsSemiMixedTypes="0" containsString="0" containsNumber="1" containsInteger="1" minValue="2358332" maxValue="10618221167"/>
    </cacheField>
    <cacheField name="Cargo" numFmtId="0">
      <sharedItems count="9">
        <s v="Coordinador Local Regional"/>
        <s v="Gestor"/>
        <s v="Profesional Tallerista"/>
        <s v="Coordinador General Regional"/>
        <s v="Profesional Administrativo y Financiero"/>
        <s v="Profesional de logística y compra"/>
        <s v="Profesional de Seguimiento e Información"/>
        <s v="Técnico Administrativo Regional de Apoyo"/>
        <s v="Profesional de Alianzas y Conexión a Mercados "/>
      </sharedItems>
    </cacheField>
    <cacheField name="Enlace documentacion" numFmtId="0">
      <sharedItems/>
    </cacheField>
    <cacheField name="Celular" numFmtId="0">
      <sharedItems containsMixedTypes="1" containsNumber="1" containsInteger="1" minValue="0" maxValue="3508569237"/>
    </cacheField>
    <cacheField name="Región" numFmtId="0">
      <sharedItems containsSemiMixedTypes="0" containsString="0" containsNumber="1" containsInteger="1" minValue="1" maxValue="5" count="5">
        <n v="4"/>
        <n v="3"/>
        <n v="1"/>
        <n v="5"/>
        <n v="2"/>
      </sharedItems>
    </cacheField>
    <cacheField name="Departamento" numFmtId="0">
      <sharedItems containsMixedTypes="1" containsNumber="1" containsInteger="1" minValue="0" maxValue="0"/>
    </cacheField>
    <cacheField name="Municipio" numFmtId="0">
      <sharedItems/>
    </cacheField>
    <cacheField name="Respuesta aprobación" numFmtId="0">
      <sharedItems containsBlank="1"/>
    </cacheField>
    <cacheField name="NO aprobados" numFmtId="0">
      <sharedItems containsBlank="1"/>
    </cacheField>
    <cacheField name="Fecha de envío a Prosperidad" numFmtId="14">
      <sharedItems containsNonDate="0" containsDate="1" containsString="0" containsBlank="1" minDate="2026-01-13T00:00:00" maxDate="2026-02-24T00:00:00"/>
    </cacheField>
    <cacheField name="Aprobación" numFmtId="0">
      <sharedItems/>
    </cacheField>
    <cacheField name="Equipo Nacional/Regional" numFmtId="0">
      <sharedItems/>
    </cacheField>
    <cacheField name="Contratado" numFmtId="0">
      <sharedItems/>
    </cacheField>
    <cacheField name="Estatus " numFmtId="0">
      <sharedItems containsBlank="1"/>
    </cacheField>
    <cacheField name="Observaciones Validación de BD" numFmtId="0">
      <sharedItems containsBlank="1"/>
    </cacheField>
    <cacheField name="Valid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s v="13/02/2026_x000a_18/02/2026"/>
    <s v="Francisco Jose Yepes Vaca"/>
    <n v="1144074193"/>
    <x v="0"/>
    <s v="https://drive.google.com/drive/folders/10d8-c8FdmSMuhQtU4vM2rOztbhtH8bMt?usp=sharing"/>
    <s v="313 750 5896"/>
    <x v="0"/>
    <s v="Bogotá"/>
    <s v="Bogotá"/>
    <s v="RCE_260220_58"/>
    <s v="RCE_260217_54"/>
    <d v="2026-02-23T00:00:00"/>
    <s v="Sí"/>
    <s v="Equipo Técnico Territorial"/>
    <s v="Sí"/>
  </r>
  <r>
    <d v="2026-02-13T00:00:00"/>
    <s v="Juan José Ortiz Rodríguez"/>
    <n v="1075290917"/>
    <x v="1"/>
    <s v="https://drive.google.com/drive/folders/1imaJKsFubWW6upkNDQ8FskKT42YS-4HT?usp=sharing"/>
    <n v="3103040685"/>
    <x v="0"/>
    <s v="Huila"/>
    <s v="Neiva"/>
    <s v="RCE_260220_58"/>
    <m/>
    <m/>
    <s v="Sí"/>
    <s v="Equipo Técnico Territorial"/>
    <s v="No"/>
  </r>
  <r>
    <d v="2026-02-13T00:00:00"/>
    <s v="Oscar Fernando Atagualpa Charry"/>
    <n v="1075233213"/>
    <x v="1"/>
    <s v="https://drive.google.com/drive/folders/1ppInKb9DkUqK05kyQpHo4DZhH3u1Y2-c?usp=sharing"/>
    <n v="3176709214"/>
    <x v="0"/>
    <s v="Huila"/>
    <s v="Timana"/>
    <s v="RCE_260220_58"/>
    <m/>
    <m/>
    <s v="Sí"/>
    <s v="Equipo Técnico Territorial"/>
    <s v="No"/>
  </r>
  <r>
    <d v="2026-02-13T00:00:00"/>
    <s v="Víctor Javier Polo Rojas"/>
    <n v="1075254161"/>
    <x v="1"/>
    <s v="https://drive.google.com/drive/folders/1r44y_CdPhOmaPTVEwAgeJjYLT1W-iwaq?usp=sharing"/>
    <n v="3028574419"/>
    <x v="0"/>
    <s v="Huila"/>
    <s v="Neiva"/>
    <s v="RCE_260220_58"/>
    <m/>
    <m/>
    <s v="Sí"/>
    <s v="Equipo Técnico Territorial"/>
    <s v="No"/>
  </r>
  <r>
    <d v="2026-02-13T00:00:00"/>
    <s v="Nancy Rocío Araujo Silva"/>
    <n v="26607521"/>
    <x v="1"/>
    <s v="https://drive.google.com/drive/folders/1r1IT0tn-GoVOdan2TRJQ5PlBThfymFXB?usp=sharing"/>
    <n v="3118300584"/>
    <x v="0"/>
    <s v="Huila"/>
    <s v="Yaguara"/>
    <s v="RCE_260220_58"/>
    <m/>
    <m/>
    <s v="Sí"/>
    <s v="Equipo Técnico Territorial"/>
    <s v="No"/>
  </r>
  <r>
    <s v="3/02/2026_x000a_13/02/2026"/>
    <s v="Carlos Alberto Borda Ladino "/>
    <n v="1030627215"/>
    <x v="2"/>
    <s v="https://drive.google.com/drive/folders/1_44GkF3AGucvIWK9kVATug0RlMhrNebO?usp=sharing"/>
    <n v="3185636397"/>
    <x v="0"/>
    <s v="Bogotá"/>
    <s v="Bogotá"/>
    <s v=" RCE_260223_62"/>
    <s v="RCE_260206_42"/>
    <d v="2026-02-10T00:00:00"/>
    <s v="Sí"/>
    <s v="Equipo Técnico Territorial"/>
    <s v="No"/>
  </r>
  <r>
    <d v="2026-02-13T00:00:00"/>
    <s v="Anuar Fernando Amar Zuñiga"/>
    <n v="1075299345"/>
    <x v="1"/>
    <s v="https://drive.google.com/drive/folders/1FNWZ0Kq6g4_tfi7XPsE04IUdLUIgrLPG?usp=sharing"/>
    <n v="3112456699"/>
    <x v="0"/>
    <s v="Huila"/>
    <s v="Neiva"/>
    <s v=" RCE_260223_62"/>
    <m/>
    <m/>
    <s v="Sí"/>
    <s v="Equipo Técnico Territorial"/>
    <s v="Sí"/>
  </r>
  <r>
    <d v="2026-02-13T00:00:00"/>
    <s v="Oscar Iván Losada López"/>
    <n v="12282196"/>
    <x v="1"/>
    <s v="https://drive.google.com/drive/folders/1z9GjjCKXXSCsYSDK_1wx3yPLYkbbAdGO?usp=sharing"/>
    <s v="313 355 3603"/>
    <x v="0"/>
    <s v="Huila"/>
    <s v="La plata"/>
    <s v=" RCE_260223_62"/>
    <m/>
    <m/>
    <s v="Sí"/>
    <s v="Equipo Técnico Territorial"/>
    <s v="Sí"/>
  </r>
  <r>
    <d v="2026-02-13T00:00:00"/>
    <s v="Lina Alexandra Meza"/>
    <n v="1075224742"/>
    <x v="1"/>
    <s v="https://drive.google.com/drive/folders/1N-UizPzl0oV__OPC_f9sP1-V2H6ML2YC?usp=sharing"/>
    <n v="3138236572"/>
    <x v="0"/>
    <s v="Huila"/>
    <s v="Neiva"/>
    <s v=" RCE_260223_62"/>
    <m/>
    <m/>
    <s v="Sí"/>
    <s v="Equipo Técnico Territorial"/>
    <s v="No"/>
  </r>
  <r>
    <d v="2026-02-20T00:00:00"/>
    <s v="Blanca Jeannette Jimenez Angel"/>
    <n v="39547159"/>
    <x v="2"/>
    <s v="https://drive.google.com/drive/folders/18QXOsBcht2k9ULBONnBFsbN0AzbMwQEn?usp=sharing"/>
    <n v="3178647950"/>
    <x v="0"/>
    <s v="Bogotá"/>
    <s v="Bogotá"/>
    <s v=" RCE_260227_66"/>
    <m/>
    <m/>
    <s v="Sí"/>
    <s v="Equipo Técnico Territorial"/>
    <s v="No"/>
  </r>
  <r>
    <d v="2026-02-20T00:00:00"/>
    <s v="Jean Ruth León Morales "/>
    <n v="68249820"/>
    <x v="2"/>
    <s v="https://drive.google.com/drive/folders/1VOTo8jAfUW4tIltIoK-1CCDDTNOnOX0V?usp=sharing"/>
    <n v="3118290743"/>
    <x v="1"/>
    <s v="Arauca"/>
    <s v="Arauca"/>
    <s v=" RCE_260227_66"/>
    <m/>
    <m/>
    <s v="Sí"/>
    <s v="Equipo Técnico Territorial"/>
    <s v="No"/>
  </r>
  <r>
    <d v="2026-02-20T00:00:00"/>
    <s v="Jeniffer González Parra "/>
    <n v="36312411"/>
    <x v="2"/>
    <s v="https://drive.google.com/drive/folders/1ysXNF6WMORjaN_91GdFw1AO0h4mPM6Ko?usp=sharing"/>
    <n v="3154253322"/>
    <x v="0"/>
    <s v="Tolima"/>
    <s v="Purificacion"/>
    <s v=" RCE_260227_66"/>
    <m/>
    <m/>
    <s v="Sí"/>
    <s v="Equipo Técnico Territorial"/>
    <s v="No"/>
  </r>
  <r>
    <d v="2026-02-20T00:00:00"/>
    <s v="Paola Andrea Charry Muñoz "/>
    <n v="26424757"/>
    <x v="1"/>
    <s v="https://drive.google.com/drive/folders/1D9v34cOEZS5C3ErEVs0J7H_EdK11oUXt?usp=sharing"/>
    <n v="3158094982"/>
    <x v="0"/>
    <s v="Huila"/>
    <s v="Neiva"/>
    <s v=" RCE_260227_66"/>
    <m/>
    <m/>
    <s v="Sí"/>
    <s v="Equipo Técnico Territorial"/>
    <s v="No"/>
  </r>
  <r>
    <d v="2025-12-26T00:00:00"/>
    <s v="OSCAR JAVIER POLO CERVANTE "/>
    <n v="8645647"/>
    <x v="1"/>
    <s v="https://drive.google.com/drive/folders/1s76KtYpo9xkyKsphjMU_6cY-tYdHchLr?usp=sharing"/>
    <s v="3008051714."/>
    <x v="2"/>
    <s v="Atlántico"/>
    <s v="Sabanalarga"/>
    <s v="RCE_251230_1"/>
    <m/>
    <d v="2026-01-13T00:00:00"/>
    <s v="Sí"/>
    <s v="Equipo Técnico Territorial"/>
    <s v="Sí"/>
  </r>
  <r>
    <d v="2025-12-26T00:00:00"/>
    <s v="JANNER ANDRES PERAFAN SAMBONI"/>
    <n v="10307077"/>
    <x v="1"/>
    <s v="https://drive.google.com/drive/folders/1_KdWNmRIUdtCkrNmZtfqdrBsh1NuuudE?usp=sharing"/>
    <n v="3217763244"/>
    <x v="3"/>
    <s v="Cauca"/>
    <s v="Popayán"/>
    <s v="RCE_251230_1"/>
    <m/>
    <d v="2026-01-13T00:00:00"/>
    <s v="Sí"/>
    <s v="Equipo Técnico Territorial"/>
    <s v="Sí"/>
  </r>
  <r>
    <d v="2025-12-26T00:00:00"/>
    <s v="ALEXIS ALVEAR GUERRERO "/>
    <n v="12753416"/>
    <x v="1"/>
    <s v="https://drive.google.com/drive/folders/1NbDlQ2GSUYTpsP4AQXkc4bazmCrypJ2I?usp=sharing"/>
    <n v="3135993959"/>
    <x v="3"/>
    <s v="Nariño"/>
    <s v="Pasto"/>
    <s v="RCE_251230_1"/>
    <m/>
    <d v="2026-01-13T00:00:00"/>
    <s v="Sí"/>
    <s v="Equipo Técnico Territorial"/>
    <s v="Sí"/>
  </r>
  <r>
    <d v="2025-12-26T00:00:00"/>
    <s v="ADRIANA MILENA VILLALBA GUALTERO"/>
    <n v="25289719"/>
    <x v="1"/>
    <s v="https://drive.google.com/drive/folders/1APfwtV53Y6RV4h2IAOI-oXsFhSbYQpkr?usp=sharing"/>
    <n v="3135211656"/>
    <x v="3"/>
    <s v="Cauca"/>
    <s v="Cajibío"/>
    <s v="RCE_251230_1"/>
    <m/>
    <d v="2026-01-13T00:00:00"/>
    <s v="Sí"/>
    <s v="Equipo Técnico Territorial"/>
    <s v="Sí"/>
  </r>
  <r>
    <d v="2025-12-26T00:00:00"/>
    <s v="LENY SOFIA BELTRÁN DELGADO"/>
    <n v="63545948"/>
    <x v="1"/>
    <s v="https://drive.google.com/drive/folders/1Mj1QshXamYDrTcHlUgcLT1hlKpPNuRFF"/>
    <n v="3168706325"/>
    <x v="1"/>
    <s v="Santander"/>
    <s v="Piedecuesta"/>
    <s v="RCE_251230_1"/>
    <m/>
    <d v="2026-01-13T00:00:00"/>
    <s v="Sí"/>
    <s v="Equipo Técnico Territorial"/>
    <s v="Sí"/>
  </r>
  <r>
    <d v="2025-12-26T00:00:00"/>
    <s v="FRANCISCO OCHOA CAMERO "/>
    <n v="73240202"/>
    <x v="1"/>
    <s v="https://drive.google.com/drive/folders/13ykc-YZ1ds1xvVw0JzLGcH1Svv3fPu1S?usp=sharing"/>
    <n v="3005231801"/>
    <x v="2"/>
    <s v="Bolívar"/>
    <s v="Magangué"/>
    <s v="RCE_251230_1"/>
    <m/>
    <d v="2026-01-13T00:00:00"/>
    <s v="Sí"/>
    <s v="Equipo Técnico Territorial"/>
    <s v="Sí"/>
  </r>
  <r>
    <d v="2025-12-26T00:00:00"/>
    <s v="ROBERTO CARLOS BRUN ROCHA "/>
    <n v="73569377"/>
    <x v="1"/>
    <s v="https://drive.google.com/drive/folders/17eFSh9Lx-FmO-RFS8FWDZckrGM-OAWSa?usp=sharing"/>
    <n v="3002273146"/>
    <x v="2"/>
    <s v="Atlántico"/>
    <s v="Barranquilla"/>
    <s v="RCE_251230_1"/>
    <m/>
    <d v="2026-01-13T00:00:00"/>
    <s v="Sí"/>
    <s v="Equipo Técnico Territorial"/>
    <s v="Sí"/>
  </r>
  <r>
    <d v="2025-12-26T00:00:00"/>
    <s v=" ALEX JOSE OSPINO SARMIENTO"/>
    <n v="77032423"/>
    <x v="1"/>
    <s v="https://drive.google.com/drive/folders/1xbC-Kbe1Y7QM2IDFFGsMx7UDTyToI1eF?usp=sharing"/>
    <s v="3157742677."/>
    <x v="2"/>
    <s v="Cesar"/>
    <s v="Valledupar"/>
    <s v="RCE_251230_1"/>
    <m/>
    <d v="2026-01-13T00:00:00"/>
    <s v="Sí"/>
    <s v="Equipo Técnico Territorial"/>
    <s v="Sí"/>
  </r>
  <r>
    <d v="2025-12-26T00:00:00"/>
    <s v="HERWY PATERNINA "/>
    <n v="77216111"/>
    <x v="1"/>
    <s v="https://drive.google.com/drive/folders/1xBjSQoRJiv44UJX9HsrWKbn3Id6ERcoi?usp=sharing"/>
    <n v="3017542657"/>
    <x v="2"/>
    <s v="Atlántico"/>
    <s v="Soledad"/>
    <s v="RCE_251230_1"/>
    <m/>
    <d v="2026-01-13T00:00:00"/>
    <s v="Sí"/>
    <s v="Equipo Técnico Territorial"/>
    <s v="Sí"/>
  </r>
  <r>
    <d v="2025-12-26T00:00:00"/>
    <s v="DARWIN PUERTO MAHECHA"/>
    <n v="80864874"/>
    <x v="1"/>
    <s v="https://drive.google.com/drive/folders/1ZTxxrbCP49fAUVUhUo9VZlFI4lZEmQuO?usp=sharing"/>
    <n v="3112044762"/>
    <x v="0"/>
    <s v="Bogotá"/>
    <s v="Bogotá"/>
    <s v="RCE_251230_1"/>
    <m/>
    <d v="2026-01-13T00:00:00"/>
    <s v="Sí"/>
    <s v="Equipo Técnico Territorial"/>
    <s v="Sí"/>
  </r>
  <r>
    <d v="2025-12-26T00:00:00"/>
    <s v="JOHNATHAN STEVEN PATARROYO BETANCOURT"/>
    <n v="87947694"/>
    <x v="1"/>
    <s v="https://drive.google.com/drive/folders/1dlngNVJDe5z-0OiENC55EvYTebQ4xps4?usp=sharing"/>
    <n v="3167209179"/>
    <x v="3"/>
    <s v="Nariño"/>
    <s v="San Andrés de Tumaco"/>
    <s v="RCE_251230_1"/>
    <m/>
    <d v="2026-01-13T00:00:00"/>
    <s v="Sí"/>
    <s v="Equipo Técnico Territorial"/>
    <s v="Sí"/>
  </r>
  <r>
    <d v="2025-12-26T00:00:00"/>
    <s v="GERMAN ANTONIO ARMENTA ZAPATA"/>
    <n v="93367761"/>
    <x v="1"/>
    <s v="https://drive.google.com/drive/folders/1MDLN0lEfZ1cT_fRcLDIPo1cxEYmHslln?usp=sharing"/>
    <s v="3224791104 - 3134175304"/>
    <x v="4"/>
    <s v="Tolima"/>
    <s v="Ibagué"/>
    <s v="RCE_251230_1"/>
    <m/>
    <d v="2026-01-13T00:00:00"/>
    <s v="Sí"/>
    <s v="Equipo Técnico Territorial"/>
    <s v="Sí"/>
  </r>
  <r>
    <d v="2025-12-26T00:00:00"/>
    <s v="FRANCISCO FRANCO LOMBANA ROSERO"/>
    <n v="98417809"/>
    <x v="1"/>
    <s v="https://drive.google.com/drive/folders/1n2CGVdOw7ICQ-kXOcSUNjnnNpRrCRjrH?usp=sharing"/>
    <n v="3136841893"/>
    <x v="3"/>
    <s v="Nariño"/>
    <s v="Contadero"/>
    <s v="RCE_251230_1"/>
    <m/>
    <d v="2026-01-13T00:00:00"/>
    <s v="Sí"/>
    <s v="Equipo Técnico Territorial"/>
    <s v="Sí"/>
  </r>
  <r>
    <d v="2025-12-26T00:00:00"/>
    <s v="SANTIAGO JOSÉ RUBIANO RUÍZ"/>
    <n v="1032477486"/>
    <x v="1"/>
    <s v="https://drive.google.com/drive/folders/1DoaFY4upQDpE97Nj1uTsUWG89O0K4AZ0?usp=sharing"/>
    <n v="3124075059"/>
    <x v="0"/>
    <s v="Bogotá"/>
    <s v="Bogotá"/>
    <s v="RCE_251230_1"/>
    <m/>
    <d v="2026-01-13T00:00:00"/>
    <s v="Sí"/>
    <s v="Equipo Técnico Territorial"/>
    <s v="Sí"/>
  </r>
  <r>
    <d v="2025-12-26T00:00:00"/>
    <s v="MARIA KATERINE ZULUAGA ALZATE"/>
    <n v="1068665698"/>
    <x v="1"/>
    <s v="https://drive.google.com/drive/folders/1bb6X46KPsWebZpswh0UIRtghdsdiA-aT?usp=sharing"/>
    <n v="3012290912"/>
    <x v="2"/>
    <s v="Córdoba"/>
    <s v="Ciénaga de oro"/>
    <s v="RCE_251230_1"/>
    <m/>
    <d v="2026-01-13T00:00:00"/>
    <s v="Sí"/>
    <s v="Equipo Técnico Territorial"/>
    <s v="Sí"/>
  </r>
  <r>
    <d v="2025-12-26T00:00:00"/>
    <s v="CARLOS MANUEL ALVEAR "/>
    <n v="1085260120"/>
    <x v="1"/>
    <s v="https://drive.google.com/drive/folders/1LQWOJ7vueZvlh35BlF9G9xuGXLc1Vpkj?usp=sharing"/>
    <n v="3175013807"/>
    <x v="3"/>
    <s v="Nariño"/>
    <s v="Linares"/>
    <s v="RCE_251230_1"/>
    <m/>
    <d v="2026-01-13T00:00:00"/>
    <s v="Sí"/>
    <s v="Equipo Técnico Territorial"/>
    <s v="Sí"/>
  </r>
  <r>
    <d v="2025-12-26T00:00:00"/>
    <s v="NUBIA YAMILE BENÍTEZ CASTRO"/>
    <n v="1013585966"/>
    <x v="3"/>
    <s v="https://drive.google.com/drive/folders/1Iqa6Kyw0DVI8HApOzvF_WHPDsaXgPcyi?usp=sharing"/>
    <n v="3132306105"/>
    <x v="2"/>
    <s v="Bogotá"/>
    <s v="Bogotá"/>
    <s v="RCE_251230_1"/>
    <m/>
    <d v="2026-01-13T00:00:00"/>
    <s v="Sí"/>
    <s v="Equipo Nacional"/>
    <s v="Sí"/>
  </r>
  <r>
    <d v="2025-12-26T00:00:00"/>
    <s v="JUAN MANUEL GALVÁN"/>
    <n v="1019106904"/>
    <x v="3"/>
    <s v="https://drive.google.com/drive/folders/1rtbhI--gZGQhxV1prf-je0o9yrec8tWb?usp=sharing"/>
    <n v="3118930476"/>
    <x v="0"/>
    <s v="Bogotá"/>
    <s v="Bogotá"/>
    <s v="RCE_251230_1"/>
    <m/>
    <d v="2026-01-13T00:00:00"/>
    <s v="Sí"/>
    <s v="Equipo Nacional"/>
    <s v="Sí"/>
  </r>
  <r>
    <d v="2025-12-26T00:00:00"/>
    <s v="FERNANDA BÁEZ ZAPATA"/>
    <n v="1022433756"/>
    <x v="0"/>
    <s v="https://drive.google.com/drive/folders/10s-8n3Jqq2Ou-7FCxuzBexwjz85umPDy?usp=sharing"/>
    <n v="3208048602"/>
    <x v="0"/>
    <s v="Bogotá"/>
    <s v="Bogotá"/>
    <s v="RCE_251230_1"/>
    <m/>
    <d v="2026-01-13T00:00:00"/>
    <s v="Sí"/>
    <s v="Equipo Técnico Territorial"/>
    <s v="Sí"/>
  </r>
  <r>
    <d v="2025-12-26T00:00:00"/>
    <s v="SEBASTIAN GABRIEL LAVERDE ANGULO"/>
    <n v="1023941171"/>
    <x v="0"/>
    <s v="https://drive.google.com/drive/folders/19bUPzc2r90Jn-m5vrRT8FMsDjNaZQHKy?usp=sharing"/>
    <n v="3212077757"/>
    <x v="2"/>
    <s v="Bogotá"/>
    <s v="Bogotá"/>
    <s v="RCE_251230_1"/>
    <m/>
    <d v="2026-01-13T00:00:00"/>
    <s v="Sí"/>
    <s v="Equipo Técnico Territorial"/>
    <s v="Sí"/>
  </r>
  <r>
    <d v="2025-12-26T00:00:00"/>
    <s v="LUIS ALBERTO TARAZONA PÉREZ"/>
    <n v="1094573089"/>
    <x v="1"/>
    <s v="https://drive.google.com/drive/folders/1r_r8yn8DEG6aKr0NGTDLjvHPndqOrWLZ?usp=sharing"/>
    <n v="3163364815"/>
    <x v="1"/>
    <s v="Norte de Santander"/>
    <s v="San José de Cúcuta"/>
    <s v="RCE_251230_1"/>
    <m/>
    <d v="2026-01-13T00:00:00"/>
    <s v="Sí"/>
    <s v="Equipo Técnico Territorial"/>
    <s v="Sí"/>
  </r>
  <r>
    <d v="2025-12-26T00:00:00"/>
    <s v="ADRIANA JIMENEZ RUIZ"/>
    <n v="1100394243"/>
    <x v="1"/>
    <s v="https://drive.google.com/drive/folders/10KyOqh_JLc0vN0jnC0n6uLawa2qaFAfd?usp=sharing"/>
    <s v="3014900339 - 3015731213"/>
    <x v="2"/>
    <s v="Atlántico"/>
    <s v="Barranquilla"/>
    <s v="RCE_251230_1"/>
    <m/>
    <d v="2026-01-13T00:00:00"/>
    <s v="Sí"/>
    <s v="Equipo Técnico Territorial"/>
    <s v="Sí"/>
  </r>
  <r>
    <d v="2025-12-26T00:00:00"/>
    <s v="MELISSA ANDREA MUÑOZ VERGARA"/>
    <n v="1102842776"/>
    <x v="1"/>
    <s v="https://drive.google.com/drive/folders/1gU3i4J3jZECf2DV2yKfPc5JQpT3AP8IV?usp=sharing"/>
    <s v="3046531688 - 30017379996"/>
    <x v="2"/>
    <s v="Sucre"/>
    <s v="Sincelejo"/>
    <s v="RCE_251230_1"/>
    <m/>
    <d v="2026-01-13T00:00:00"/>
    <s v="Sí"/>
    <s v="Equipo Técnico Territorial"/>
    <s v="Sí"/>
  </r>
  <r>
    <d v="2025-12-26T00:00:00"/>
    <s v="LUIS ALBERTO MARIN MENDOZA"/>
    <n v="1116794146"/>
    <x v="1"/>
    <s v="https://drive.google.com/drive/folders/1xRgRtdgOQOVAd9Vgr8E2m8TF9-gMH6jm?usp=sharing"/>
    <n v="3202032195"/>
    <x v="1"/>
    <s v="Arauca"/>
    <s v="Arauca"/>
    <s v="RCE_251230_1"/>
    <m/>
    <d v="2026-01-13T00:00:00"/>
    <s v="Sí"/>
    <s v="Equipo Técnico Territorial"/>
    <s v="Sí"/>
  </r>
  <r>
    <d v="2025-12-26T00:00:00"/>
    <s v="KATTY JULIET PERTUZ ARNACHE "/>
    <n v="1140822187"/>
    <x v="1"/>
    <s v="https://drive.google.com/drive/folders/1Flqbi9bivSkGLLoRN3ddFWaTi1PYWSMF?usp=sharing"/>
    <n v="3104242373"/>
    <x v="2"/>
    <s v="Atlántico"/>
    <s v="Barranquilla"/>
    <s v="RCE_251230_1"/>
    <m/>
    <d v="2026-01-13T00:00:00"/>
    <s v="Sí"/>
    <s v="Equipo Técnico Territorial"/>
    <s v="Sí"/>
  </r>
  <r>
    <d v="2025-12-26T00:00:00"/>
    <s v="OSMANI EMILSE OLIVOS GARCIA"/>
    <n v="68293175"/>
    <x v="4"/>
    <s v="https://drive.google.com/drive/folders/1Al2v25rXs1qNWs8vCiezrTh2VJiBnFVj?usp=sharing"/>
    <n v="3214599755"/>
    <x v="1"/>
    <s v="Arauca"/>
    <s v="Tame"/>
    <s v="RCE_251230_1"/>
    <m/>
    <d v="2026-01-13T00:00:00"/>
    <s v="Sí"/>
    <s v="Equipo Nacional"/>
    <s v="Sí"/>
  </r>
  <r>
    <d v="2025-12-26T00:00:00"/>
    <s v="OSCAR ANDRES VACCA CALDERON"/>
    <n v="1006904202"/>
    <x v="5"/>
    <s v="https://drive.google.com/drive/folders/1ICM-ljhMTlYBaXD5wxRYIbGYFZJopXZp?usp=sharing"/>
    <n v="3228679970"/>
    <x v="0"/>
    <s v="Meta"/>
    <s v="San juan de arama"/>
    <s v="RCE_251230_1"/>
    <m/>
    <d v="2026-01-13T00:00:00"/>
    <s v="Sí"/>
    <s v="Equipo Nacional"/>
    <s v="Sí"/>
  </r>
  <r>
    <d v="2025-12-26T00:00:00"/>
    <s v="LEIDY ZULEIMA SAAVEDRA ROJAS"/>
    <n v="1012423950"/>
    <x v="5"/>
    <s v="https://drive.google.com/drive/folders/18bRxCueGh_ejNiYr5mlFqfYlAHPspM64?usp=sharing"/>
    <n v="3159267374"/>
    <x v="0"/>
    <s v="Bogotá"/>
    <s v="Bogotá"/>
    <s v="RCE_251230_1"/>
    <m/>
    <d v="2026-01-13T00:00:00"/>
    <s v="Sí"/>
    <s v="Equipo Nacional"/>
    <s v="Sí"/>
  </r>
  <r>
    <d v="2025-12-26T00:00:00"/>
    <s v="LISETH VILLALBA MEJIA"/>
    <n v="1082913711"/>
    <x v="5"/>
    <s v="https://drive.google.com/drive/folders/1SshA35xRlHXdfmquKeBB5ShxtYpl1gab?usp=sharing"/>
    <n v="3207674159"/>
    <x v="2"/>
    <s v="Magdalena"/>
    <s v="Santa Marta"/>
    <s v="RCE_251230_1"/>
    <m/>
    <d v="2026-01-13T00:00:00"/>
    <s v="Sí"/>
    <s v="Equipo Nacional"/>
    <s v="Sí"/>
  </r>
  <r>
    <d v="2025-12-26T00:00:00"/>
    <s v="YENNY VIVIANA MONTENEGRO"/>
    <n v="52366634"/>
    <x v="6"/>
    <s v="https://drive.google.com/drive/folders/1JN2TpwipDRCnblImIHOOi1SA66yIABAJ?usp=sharing"/>
    <s v="300 6891366"/>
    <x v="0"/>
    <s v="Bogotá"/>
    <s v="Bogotá"/>
    <s v="RCE_251230_1"/>
    <m/>
    <d v="2026-01-13T00:00:00"/>
    <s v="Sí"/>
    <s v="Equipo Nacional"/>
    <s v="Sí"/>
  </r>
  <r>
    <d v="2025-12-26T00:00:00"/>
    <s v="YENY PATRICIA ORTEGA ELVIRA"/>
    <n v="25277702"/>
    <x v="7"/>
    <s v="https://drive.google.com/drive/folders/1ln-zWOqymaSKUhSSFiwJ2y3nGBgVgwX8?usp=sharing"/>
    <n v="3218684945"/>
    <x v="3"/>
    <s v="Cauca"/>
    <s v="Popayán"/>
    <s v="RCE_251230_1"/>
    <m/>
    <d v="2026-01-13T00:00:00"/>
    <s v="Sí"/>
    <s v="Equipo Nacional"/>
    <s v="Sí"/>
  </r>
  <r>
    <d v="2025-12-26T00:00:00"/>
    <s v="LEWIS FRANCISCO CALDERON FERNANDEZ "/>
    <n v="77036199"/>
    <x v="7"/>
    <s v="https://drive.google.com/drive/folders/1vCQgauPL7Be8dBuynweAIcrZXQFp1fnH?usp=sharing"/>
    <n v="3135917772"/>
    <x v="2"/>
    <s v="Córdoba"/>
    <s v="Cerete"/>
    <s v="RCE_251230_1"/>
    <m/>
    <d v="2026-01-13T00:00:00"/>
    <s v="Sí"/>
    <s v="Equipo Nacional"/>
    <s v="No"/>
  </r>
  <r>
    <d v="2025-12-29T00:00:00"/>
    <s v="HEINER FERLEY RINCON RAMIREZ"/>
    <n v="1098761785"/>
    <x v="3"/>
    <s v="https://drive.google.com/drive/folders/1sntfNxN1f28kZ5cDNIJYy7whHhN4lVT4"/>
    <n v="3157304369"/>
    <x v="1"/>
    <s v="Bogotá"/>
    <s v="Bogotá"/>
    <s v="RCE_251231_2"/>
    <m/>
    <d v="2026-01-13T00:00:00"/>
    <s v="Sí"/>
    <s v="Equipo Nacional"/>
    <s v="Sí"/>
  </r>
  <r>
    <d v="2025-12-29T00:00:00"/>
    <s v="GLORIA STELLA MUÑOZ"/>
    <n v="34672599"/>
    <x v="0"/>
    <s v="https://drive.google.com/drive/folders/1hMYBNooI8WHAvYIEcdF6oJejOktWXeiA"/>
    <n v="3166936117"/>
    <x v="3"/>
    <s v="Cauca"/>
    <s v="Popayán"/>
    <s v="RCE_260102_4"/>
    <m/>
    <d v="2026-01-13T00:00:00"/>
    <s v="Sí"/>
    <s v="Equipo Técnico Territorial"/>
    <s v="No"/>
  </r>
  <r>
    <d v="2025-12-29T00:00:00"/>
    <s v="MILENA ROSMIRA GARCIA POVEDA "/>
    <n v="68304908"/>
    <x v="0"/>
    <s v="https://drive.google.com/drive/folders/1pWASq793geybTh8u1VNFfQUFQx4ahTGS"/>
    <n v="3103003277"/>
    <x v="1"/>
    <s v="Arauca"/>
    <s v="Tame"/>
    <s v="RCE_260102_4"/>
    <m/>
    <d v="2026-01-13T00:00:00"/>
    <s v="Sí"/>
    <s v="Equipo Técnico Territorial"/>
    <s v="Sí"/>
  </r>
  <r>
    <d v="2025-12-29T00:00:00"/>
    <s v="LAURA ALEJANDRA NARANJO MORENO"/>
    <n v="1030633303"/>
    <x v="0"/>
    <s v="https://drive.google.com/drive/folders/1nweZBxXRHcawBvpqJCijzct89Up1_Was?usp=sharing"/>
    <n v="3185326727"/>
    <x v="0"/>
    <s v="Bogotá"/>
    <s v="Bogotá"/>
    <s v="RCE_260102_4"/>
    <m/>
    <d v="2026-01-13T00:00:00"/>
    <s v="Sí"/>
    <s v="Equipo Técnico Territorial"/>
    <s v="No"/>
  </r>
  <r>
    <d v="2025-12-29T00:00:00"/>
    <s v="INGRI ALEIRA ALFONSO "/>
    <n v="33480516"/>
    <x v="1"/>
    <s v="https://drive.google.com/drive/folders/1bTm2c5o3q97ONqC1EUo_kvF3k7mnd9WD"/>
    <n v="3228984805"/>
    <x v="1"/>
    <s v="Santander"/>
    <s v="Barbosa"/>
    <s v="RCE_260102_4"/>
    <m/>
    <d v="2026-01-13T00:00:00"/>
    <s v="Sí"/>
    <s v="Equipo Técnico Territorial"/>
    <s v="Sí"/>
  </r>
  <r>
    <d v="2025-12-29T00:00:00"/>
    <s v="DANILA ISABEL CANTILLO MARTINEZ "/>
    <n v="36555287"/>
    <x v="1"/>
    <s v="https://drive.google.com/drive/folders/1mT0Go6PwuzAr74LNezDd29uZKgdZ4mwQ?usp=sharing"/>
    <n v="3162411905"/>
    <x v="2"/>
    <s v="Atlántico"/>
    <s v="Soledad"/>
    <s v="RCE_260102_4"/>
    <m/>
    <d v="2026-01-13T00:00:00"/>
    <s v="Sí"/>
    <s v="Equipo Técnico Territorial"/>
    <s v="Sí"/>
  </r>
  <r>
    <d v="2025-12-29T00:00:00"/>
    <s v="CESAR HUMBERTO CARRERO"/>
    <n v="79465717"/>
    <x v="1"/>
    <s v="https://drive.google.com/drive/folders/1EU0SsmHLZ32j1p6U0LAB06xKoYlRKgpW?usp=sharing"/>
    <n v="3142738255"/>
    <x v="0"/>
    <s v="Bogotá"/>
    <s v="Bogotá"/>
    <s v="RCE_260102_4"/>
    <m/>
    <d v="2026-01-13T00:00:00"/>
    <s v="Sí"/>
    <s v="Equipo Técnico Territorial"/>
    <s v="Sí"/>
  </r>
  <r>
    <d v="2025-12-29T00:00:00"/>
    <s v="GERMAN ANTONIO RODRÍGUEZ NIÑO"/>
    <n v="1018501051"/>
    <x v="1"/>
    <s v="https://drive.google.com/drive/folders/1tgCllxsYKGpT74ItBOqg6isypBdkTNHT"/>
    <n v="3203207992"/>
    <x v="0"/>
    <s v="Bogotá"/>
    <s v="Bogotá"/>
    <s v="RCE_260102_4"/>
    <m/>
    <d v="2026-01-13T00:00:00"/>
    <s v="Sí"/>
    <s v="Equipo Técnico Territorial"/>
    <s v="Sí"/>
  </r>
  <r>
    <d v="2025-12-29T00:00:00"/>
    <s v="ROSELYS DEL CARMEN LLORENTE"/>
    <n v="1073816649"/>
    <x v="1"/>
    <s v="https://drive.google.com/drive/folders/1zkUj-EdGYzfKY6J7G5uUsgG_xW5rrq04"/>
    <n v="3135597546"/>
    <x v="2"/>
    <s v="Córdoba"/>
    <s v="San Pelayo"/>
    <s v="RCE_260102_4"/>
    <m/>
    <d v="2026-01-13T00:00:00"/>
    <s v="Sí"/>
    <s v="Equipo Técnico Territorial"/>
    <s v="Sí"/>
  </r>
  <r>
    <d v="2025-12-29T00:00:00"/>
    <s v="JESUS RAFAEL URZOLA"/>
    <n v="72310623"/>
    <x v="4"/>
    <s v="https://drive.google.com/drive/folders/1XvHSHv-dPLUmt7LrBkaPXtbK3uenC4Ao"/>
    <n v="3185817751"/>
    <x v="2"/>
    <s v="Atlántico"/>
    <s v="Puerto colombia"/>
    <s v="RCE_260102_4"/>
    <m/>
    <d v="2026-01-13T00:00:00"/>
    <s v="Sí"/>
    <s v="Equipo Nacional"/>
    <s v="Sí"/>
  </r>
  <r>
    <d v="2025-12-29T00:00:00"/>
    <s v="WILFREDO RODRIGUEZ MENDOZA "/>
    <n v="79994816"/>
    <x v="8"/>
    <s v="https://drive.google.com/drive/folders/1wvCTK1ViSEaNFb08YQENRXLiSW_VNe-7?usp=sharing"/>
    <n v="3058136798"/>
    <x v="0"/>
    <s v="Bogotá"/>
    <s v="Bogotá"/>
    <s v="RCE_260102_4"/>
    <m/>
    <d v="2026-01-13T00:00:00"/>
    <s v="Sí"/>
    <s v="Equipo Nacional"/>
    <s v="Sí"/>
  </r>
  <r>
    <d v="2025-12-29T00:00:00"/>
    <s v="JHON EDUARD HERNANDEZ ESPINOS"/>
    <n v="93372958"/>
    <x v="8"/>
    <s v="https://drive.google.com/drive/folders/1TGUkye96HlNMp9EID-M7VhtfyLIzcriV?usp=sharing"/>
    <n v="3112633495"/>
    <x v="4"/>
    <s v="Tolima"/>
    <s v="Ibagué"/>
    <s v="RCE_260102_4"/>
    <m/>
    <d v="2026-01-13T00:00:00"/>
    <s v="Sí"/>
    <s v="Equipo Nacional"/>
    <s v="Sí"/>
  </r>
  <r>
    <d v="2025-12-29T00:00:00"/>
    <s v="NUBIA STELLA GARCIA POVEDA "/>
    <n v="63497632"/>
    <x v="5"/>
    <s v="https://drive.google.com/drive/folders/1FjX93iOwIZ7pL56i6q3m69j97d6cF5wD?usp=sharing"/>
    <n v="3133936394"/>
    <x v="1"/>
    <s v="Santander"/>
    <s v="Bucaramanga"/>
    <s v="RCE_260102_4"/>
    <m/>
    <d v="2026-01-13T00:00:00"/>
    <s v="Sí"/>
    <s v="Equipo Nacional"/>
    <s v="Sí"/>
  </r>
  <r>
    <d v="2025-12-29T00:00:00"/>
    <s v="FERNANDO ANDRES ESCOBAR "/>
    <n v="76322456"/>
    <x v="5"/>
    <s v="https://drive.google.com/drive/folders/1NjLOEezp7b9YRUvs5DHnJfEvzGbaTr5K?usp=sharing"/>
    <n v="3004402408"/>
    <x v="3"/>
    <s v="Cauca"/>
    <s v="Popayán"/>
    <s v="RCE_260102_4"/>
    <m/>
    <d v="2026-01-13T00:00:00"/>
    <s v="Sí"/>
    <s v="Equipo Nacional"/>
    <s v="Sí"/>
  </r>
  <r>
    <d v="2025-12-29T00:00:00"/>
    <s v="ANTONIO RORIGUEZ BURGOS "/>
    <n v="98377840"/>
    <x v="5"/>
    <s v="https://drive.google.com/drive/folders/1SXAnjZ993W9RafkNnnRaNCIrWd6dh0mm?usp=sharing"/>
    <n v="3052357890"/>
    <x v="3"/>
    <s v="Nariño"/>
    <s v="Pasto"/>
    <s v="RCE_260102_4"/>
    <m/>
    <d v="2026-01-13T00:00:00"/>
    <s v="Sí"/>
    <s v="Equipo Nacional"/>
    <s v="Sí"/>
  </r>
  <r>
    <d v="2025-12-29T00:00:00"/>
    <s v="SARA JULIANA ARMESTO PAREDES "/>
    <n v="1065910007"/>
    <x v="5"/>
    <s v="https://drive.google.com/drive/folders/1yzzbTVvVdFc2MaIqFrNuGWjKo-a9JTZE?usp=sharing"/>
    <n v="3178870865"/>
    <x v="2"/>
    <s v="Cesar"/>
    <s v="Aguachica"/>
    <s v="RCE_260102_4"/>
    <m/>
    <d v="2026-01-13T00:00:00"/>
    <s v="Sí"/>
    <s v="Equipo Nacional"/>
    <s v="Sí"/>
  </r>
  <r>
    <d v="2025-12-29T00:00:00"/>
    <s v="VIVIANA COGOLLO GÓMEZ"/>
    <n v="1067855162"/>
    <x v="5"/>
    <s v="https://drive.google.com/drive/folders/1yaKjdG60phpeRQN7EyU2qEiNQSaruADz"/>
    <n v="3126986817"/>
    <x v="2"/>
    <s v="Córdoba"/>
    <s v="Valencia"/>
    <s v="RCE_260102_4"/>
    <m/>
    <d v="2026-01-13T00:00:00"/>
    <s v="Sí"/>
    <s v="Equipo Nacional"/>
    <s v="Sí"/>
  </r>
  <r>
    <d v="2025-12-29T00:00:00"/>
    <s v="HABIB GUILLERMO MEJÍA"/>
    <n v="1032473395"/>
    <x v="6"/>
    <s v="https://drive.google.com/drive/folders/1m8BHhYeX226mBpqJksfy6RzrSuuk1yl9"/>
    <n v="3223901260"/>
    <x v="0"/>
    <s v="Bogotá"/>
    <s v="Bogotá"/>
    <s v="RCE_260102_4"/>
    <m/>
    <d v="2026-01-13T00:00:00"/>
    <s v="Sí"/>
    <s v="Equipo Nacional"/>
    <s v="No"/>
  </r>
  <r>
    <d v="2025-12-29T00:00:00"/>
    <s v="MARIA CATHALINA ALCAZAR CARDOZO "/>
    <n v="38363000"/>
    <x v="7"/>
    <s v="https://drive.google.com/drive/folders/1xVM0hNl9X1yPx9BzF1BUiuKkC9Qpn1n1?usp=sharing"/>
    <n v="3102146160"/>
    <x v="4"/>
    <s v="Tolima"/>
    <s v="Ibagué"/>
    <s v="RCE_260102_4"/>
    <m/>
    <d v="2026-01-13T00:00:00"/>
    <s v="Sí"/>
    <s v="Equipo Nacional"/>
    <s v="Sí"/>
  </r>
  <r>
    <d v="2025-12-29T00:00:00"/>
    <s v="ADRIANA SUARES SANCHES "/>
    <n v="1056931104"/>
    <x v="7"/>
    <s v="https://drive.google.com/drive/folders/1ZUhkEzBO9r2GWZMR-xK6Ua7GNABFhf-P"/>
    <n v="3232093324"/>
    <x v="1"/>
    <s v="Meta"/>
    <s v="Villavicencio"/>
    <s v="RCE_260102_4"/>
    <m/>
    <d v="2026-01-13T00:00:00"/>
    <s v="Sí"/>
    <s v="Equipo Nacional"/>
    <s v="Sí"/>
  </r>
  <r>
    <d v="2025-12-29T00:00:00"/>
    <s v="LAURA NATALIA PAZ HOYOS"/>
    <n v="1061809363"/>
    <x v="7"/>
    <s v="http://drive.google.com/drive/folders/1OiEUMruV0ctrd8H1cjY_eJJ7nLNa2k48"/>
    <s v="315 3239643"/>
    <x v="3"/>
    <s v="Cauca "/>
    <s v="Popayán"/>
    <s v="RCE_260102_4"/>
    <m/>
    <d v="2026-01-13T00:00:00"/>
    <s v="Sí"/>
    <s v="Equipo Nacional"/>
    <s v="Sí"/>
  </r>
  <r>
    <d v="2025-12-29T00:00:00"/>
    <s v="YARLYN  MARLEYXY BELTRAN PEREZ"/>
    <n v="1116500023"/>
    <x v="7"/>
    <s v="https://drive.google.com/drive/folders/1xX1LS87qVO686Ejdx36Y40Bdmukrex2I?usp=drive_link"/>
    <s v="314 3460209"/>
    <x v="1"/>
    <s v="Arauca"/>
    <s v="Arauquita"/>
    <s v="RCE_260102_4"/>
    <m/>
    <d v="2026-01-13T00:00:00"/>
    <s v="Sí"/>
    <s v="Equipo Nacional"/>
    <s v="Sí"/>
  </r>
  <r>
    <d v="2026-01-16T00:00:00"/>
    <s v="CARLOS EDUARDO ROMERO GUZMÁN"/>
    <n v="19431225"/>
    <x v="0"/>
    <s v="https://drive.google.com/drive/folders/1eOBN88QMOx8YjRDtPvH6bt1LikchEfmL"/>
    <s v="314 6304700"/>
    <x v="3"/>
    <s v="Bogotá"/>
    <s v="Bogotá"/>
    <s v="RCE_260102_4_x000a_RCE_260119_20"/>
    <m/>
    <d v="2026-01-21T00:00:00"/>
    <s v="Sí"/>
    <s v="Equipo Técnico Territorial"/>
    <s v="No"/>
  </r>
  <r>
    <d v="2025-12-29T00:00:00"/>
    <s v="CARLOS ALBERTO GUETE LÓPEZ"/>
    <n v="78758336"/>
    <x v="1"/>
    <s v="https://drive.google.com/drive/folders/10Q0CbnOp9C3Te4WPXOxNyEmottDyF2oT?usp=sharing"/>
    <n v="3015966483"/>
    <x v="2"/>
    <s v="Córdoba"/>
    <s v="Lorica"/>
    <s v="RCE_260102_4_x000a_RCE_260128_35"/>
    <m/>
    <d v="2026-02-09T00:00:00"/>
    <s v="Sí"/>
    <s v="Equipo Técnico Territorial"/>
    <s v="No"/>
  </r>
  <r>
    <d v="2025-12-29T00:00:00"/>
    <s v="JUAN CAMILO OCHOA MARÍN"/>
    <n v="15354871"/>
    <x v="1"/>
    <s v="https://drive.google.com/drive/folders/1Bmp5G0jJ4wspqoQnpHiL3QI37KBChVdh"/>
    <n v="3136512879"/>
    <x v="3"/>
    <s v="Antioquia"/>
    <s v="Rionegro"/>
    <s v="RCE_260102_4_x000a_RCE_260131_37"/>
    <m/>
    <d v="2026-02-09T00:00:00"/>
    <s v="Sí"/>
    <s v="Equipo Técnico Territorial"/>
    <s v="Sí"/>
  </r>
  <r>
    <d v="2025-12-29T00:00:00"/>
    <s v="BRENDA MILENA LLOREDA PEDRAZA "/>
    <n v="1007760287"/>
    <x v="5"/>
    <s v="https://drive.google.com/drive/folders/1mMx7Uh4bO60CWG3fxuHFIpa9Q08pke9Q?usp=sharing"/>
    <n v="3162377716"/>
    <x v="1"/>
    <s v="Arauca"/>
    <s v="Saravena"/>
    <s v="RCE_260102_4_x000a_RCE_260205_39"/>
    <m/>
    <d v="2026-01-13T00:00:00"/>
    <s v="Sí"/>
    <s v="Equipo Nacional"/>
    <s v="No"/>
  </r>
  <r>
    <d v="2025-12-29T00:00:00"/>
    <s v="JAVIER FRANCISCO DURANGO CHICA"/>
    <n v="10781720"/>
    <x v="5"/>
    <s v="https://drive.google.com/drive/folders/1ybyXigCKCKVuRd9FwMoXDtVzicMEqByp"/>
    <n v="3053245763"/>
    <x v="2"/>
    <s v="Córdoba"/>
    <s v="Ciénaga de oro"/>
    <s v="RCE_260102_5"/>
    <m/>
    <d v="2026-01-13T00:00:00"/>
    <s v="Sí"/>
    <s v="Equipo Nacional"/>
    <s v="Sí"/>
  </r>
  <r>
    <d v="2025-12-29T00:00:00"/>
    <s v="INGRID CORINNE GENERA HERRERA"/>
    <n v="1117504566"/>
    <x v="5"/>
    <s v="https://drive.google.com/drive/folders/1zvQKHuv-ox3jeJxsQQ-MTRcV69Pq6UcB"/>
    <n v="3115626406"/>
    <x v="0"/>
    <s v="Caquetá"/>
    <s v="Florencia"/>
    <s v="RCE_260102_5"/>
    <m/>
    <d v="2026-01-13T00:00:00"/>
    <s v="Sí"/>
    <s v="Equipo Nacional"/>
    <s v="No"/>
  </r>
  <r>
    <d v="2025-12-29T00:00:00"/>
    <s v="EDGARDO DE JESÚS MONTES RODRIGUEZ"/>
    <n v="1143160750"/>
    <x v="6"/>
    <s v="https://drive.google.com/drive/folders/1_qzXJXkwfDIoRvW5jsV-0RHyQlOVsXuZ?usp=sharing"/>
    <n v="3197031376"/>
    <x v="2"/>
    <s v="Atlántico"/>
    <s v="Barranquilla"/>
    <s v="RCE_260102_5"/>
    <m/>
    <d v="2026-01-13T00:00:00"/>
    <s v="Sí"/>
    <s v="Equipo Nacional"/>
    <s v="Sí"/>
  </r>
  <r>
    <d v="2025-12-29T00:00:00"/>
    <s v="KAROL XIMENA CARLOSAMA MARTÍNEZ"/>
    <n v="1031646540"/>
    <x v="7"/>
    <s v="https://drive.google.com/drive/folders/1Dz9P5hbhDnUdf4eEGs79TCmLLpPC6Obp"/>
    <n v="3233713556"/>
    <x v="0"/>
    <s v="Bogotá"/>
    <s v="Bogotá"/>
    <s v="RCE_260102_5"/>
    <m/>
    <d v="2026-01-13T00:00:00"/>
    <s v="Sí"/>
    <s v="Equipo Nacional"/>
    <s v="Sí"/>
  </r>
  <r>
    <d v="2025-12-29T00:00:00"/>
    <s v="JANNY MARÍA ARBOLEDA "/>
    <n v="1077421294"/>
    <x v="7"/>
    <s v="https://drive.google.com/drive/folders/1pLDq_6PFol_V7tRouE7emLvUVi8oXbSk"/>
    <n v="3127176996"/>
    <x v="3"/>
    <s v="Chocó"/>
    <s v="Quibdó"/>
    <s v="RCE_260102_5"/>
    <m/>
    <d v="2026-01-13T00:00:00"/>
    <s v="Sí"/>
    <s v="Equipo Nacional"/>
    <s v="Sí"/>
  </r>
  <r>
    <d v="2026-01-13T00:00:00"/>
    <s v="DANNY DANIEL MARTINEZ TORRES"/>
    <n v="72278232"/>
    <x v="5"/>
    <s v="https://drive.google.com/drive/folders/1tjdRlau5b80qAXiBCF0nsIDM33HJ5IX0?usp=sharing"/>
    <n v="3152003632"/>
    <x v="2"/>
    <s v="Atlántico"/>
    <s v="Barranquilla"/>
    <s v="RCE_260102_5 _x000a_RCE_260106_9 _x000a_RCE_260116_18"/>
    <m/>
    <d v="2026-01-21T00:00:00"/>
    <s v="Sí"/>
    <s v="Equipo Nacional"/>
    <s v="Sí"/>
  </r>
  <r>
    <d v="2026-01-13T00:00:00"/>
    <s v="ROBERTO SALGADO LUGO"/>
    <n v="1063172600"/>
    <x v="5"/>
    <s v="https://drive.google.com/drive/folders/1Pfuwbvfxilnc47_EKRXudTo9jF2_ACOT?usp=sharing"/>
    <n v="3008477350"/>
    <x v="2"/>
    <s v="Córdoba"/>
    <s v="Lorica"/>
    <s v="RCE_260102_5 _x000a_RCE_260116_18"/>
    <m/>
    <d v="2026-01-21T00:00:00"/>
    <s v="Sí"/>
    <s v="Equipo Nacional"/>
    <s v="No"/>
  </r>
  <r>
    <d v="2025-12-29T00:00:00"/>
    <s v="LUZ DARY NARVAEZ "/>
    <n v="25272699"/>
    <x v="7"/>
    <s v="https://drive.google.com/drive/folders/1vDnOg85QAP_BoVsO4kuxGpUg-qlsS9X-?usp=sharing"/>
    <n v="3104204528"/>
    <x v="3"/>
    <s v="Cauca"/>
    <s v="Popayán"/>
    <s v="RCE_260102_5_x000a_RCE_260106_9"/>
    <m/>
    <d v="2026-01-13T00:00:00"/>
    <s v="Sí"/>
    <s v="Equipo Nacional"/>
    <s v="Sí"/>
  </r>
  <r>
    <d v="2025-12-29T00:00:00"/>
    <s v="SANDRA MILENA GARCÍA"/>
    <n v="57701996"/>
    <x v="7"/>
    <s v="https://drive.google.com/drive/folders/10czFmF5ZSv-piuFAZ0cn9Z9phxAlww0Y?usp=sharing"/>
    <s v="300 3111312"/>
    <x v="0"/>
    <s v="Bogotá"/>
    <s v="Bogotá"/>
    <s v="RCE_260102_5_x000a_RCE_260106_9"/>
    <m/>
    <d v="2026-01-13T00:00:00"/>
    <s v="Sí"/>
    <s v="Equipo Nacional"/>
    <s v="Sí"/>
  </r>
  <r>
    <d v="2025-12-29T00:00:00"/>
    <s v="XIOMARA ALEXANDRA TORRES JIMENEZ"/>
    <n v="1030602861"/>
    <x v="0"/>
    <s v="https://drive.google.com/drive/folders/1WN0tAJ4rWJABeiRwGDQ7Bes2aO_KbiHT?usp=sharing"/>
    <n v="3118923984"/>
    <x v="0"/>
    <s v="Bogotá"/>
    <s v="Bogotá"/>
    <s v="RCE_260106_10"/>
    <s v="RCE_260102_3"/>
    <d v="2026-01-13T00:00:00"/>
    <s v="Sí"/>
    <s v="Equipo Técnico Territorial"/>
    <s v="Sí"/>
  </r>
  <r>
    <d v="2025-12-29T00:00:00"/>
    <s v="OBER CONTRERAS BENITEZ"/>
    <n v="11003600"/>
    <x v="1"/>
    <s v="https://drive.google.com/drive/folders/1Ly4GCHjKnAr9oR_LkFNkxGgYt-fuNGu-"/>
    <n v="3184628449"/>
    <x v="2"/>
    <s v="Córdoba"/>
    <s v="Montería"/>
    <s v="RCE_260106_10"/>
    <s v="RCE_260102_3"/>
    <d v="2026-01-13T00:00:00"/>
    <s v="Sí"/>
    <s v="Equipo Técnico Territorial"/>
    <s v="Sí"/>
  </r>
  <r>
    <d v="2026-01-07T00:00:00"/>
    <s v="ANDRES FELIPE CASALLAS CASTRO"/>
    <n v="1052407347"/>
    <x v="8"/>
    <s v="https://drive.google.com/drive/folders/192dsW7ZXAF7q-SFyRnZRvlCyrkhGFwUt?usp=sharing"/>
    <n v="3213183418"/>
    <x v="1"/>
    <s v="Boyacá"/>
    <s v="Duitama"/>
    <s v="RCE_260106_8_x000a_"/>
    <m/>
    <d v="2026-01-13T00:00:00"/>
    <s v="Sí"/>
    <s v="Equipo Nacional"/>
    <s v="No"/>
  </r>
  <r>
    <d v="2026-01-03T00:00:00"/>
    <s v="JULIETH ALEJANDRA SANCHEZ DOZA"/>
    <n v="1010068890"/>
    <x v="6"/>
    <s v="https://drive.google.com/drive/folders/1dXOwSNIcZsMbktKPzfOdACPjHbdNhcRN"/>
    <n v="3213871695"/>
    <x v="0"/>
    <s v="Bogotá"/>
    <s v="Bogotá"/>
    <s v="RCE_260106_8_x000a_RCE_260106_9"/>
    <m/>
    <d v="2026-01-13T00:00:00"/>
    <s v="Sí"/>
    <s v="Equipo Nacional"/>
    <s v="Sí"/>
  </r>
  <r>
    <d v="2026-01-03T00:00:00"/>
    <s v="JOSE DAVID GARCÍA PINEDA"/>
    <n v="1007961043"/>
    <x v="7"/>
    <s v="https://drive.google.com/drive/folders/1RlNs3qBWdIa5fbrhzUQWvt-2x4_q_Z1K?usp=sharing"/>
    <n v="3016273810"/>
    <x v="1"/>
    <s v="Norte de Santander"/>
    <s v="Ocaña"/>
    <s v="RCE_260106_8_x000a_RCE_260106_9"/>
    <m/>
    <d v="2026-01-13T00:00:00"/>
    <s v="Sí"/>
    <s v="Equipo Nacional"/>
    <s v="Sí"/>
  </r>
  <r>
    <d v="2026-01-03T00:00:00"/>
    <s v="OSCAR ANDRES CARRILLO FLOREZ"/>
    <n v="1091967573"/>
    <x v="7"/>
    <s v="https://drive.google.com/drive/folders/1_QmM8K_U5Aw5FfZo288YRIT1xxPm7mPA?usp=sharing"/>
    <n v="3223167672"/>
    <x v="1"/>
    <s v="Bogotá"/>
    <s v="Bogotá"/>
    <s v="RCE_260106_8_x000a_RCE_260106_9"/>
    <m/>
    <d v="2026-01-13T00:00:00"/>
    <s v="Sí"/>
    <s v="Equipo Nacional"/>
    <s v="Sí"/>
  </r>
  <r>
    <d v="2026-01-03T00:00:00"/>
    <s v="HAROLD MAURICIO ORDUÑA"/>
    <n v="80255527"/>
    <x v="5"/>
    <s v="https://drive.google.com/drive/folders/1htXiuz8Ir3QVOPZmfNhsHiCYuTH_RAKP?usp=sharing"/>
    <n v="3202221822"/>
    <x v="0"/>
    <s v="Bogotá"/>
    <s v="Bogotá"/>
    <s v="RCE_260106_9"/>
    <m/>
    <d v="2026-01-13T00:00:00"/>
    <s v="Sí"/>
    <s v="Equipo Nacional"/>
    <s v="No"/>
  </r>
  <r>
    <d v="2026-01-03T00:00:00"/>
    <s v="DARLY YANETH ALBA PÁEZ"/>
    <n v="1136889599"/>
    <x v="7"/>
    <s v="https://drive.google.com/drive/folders/1Vd5t6-n6er3R9Vz06_JVRBYxJ0ndXSuK?usp=sharing"/>
    <n v="3114201413"/>
    <x v="2"/>
    <s v="Cesar"/>
    <s v="Aguachica"/>
    <s v="RCE_260106_9"/>
    <m/>
    <d v="2026-01-13T00:00:00"/>
    <s v="Sí"/>
    <s v="Equipo Nacional"/>
    <s v="No"/>
  </r>
  <r>
    <d v="2025-12-29T00:00:00"/>
    <s v="LAURA CORTÉS GAITÁN"/>
    <n v="1013668398"/>
    <x v="8"/>
    <s v=" https://drive.google.com/drive/folders/1dzvi40GQIa3Nfu08L7D--FZmg_J4AF56"/>
    <n v="3197471514"/>
    <x v="0"/>
    <s v="Bogotá"/>
    <s v="Bogotá"/>
    <s v="RCE_260107_11"/>
    <s v="RCE_260102_3"/>
    <d v="2026-01-13T00:00:00"/>
    <s v="Sí"/>
    <s v="Equipo Nacional"/>
    <s v="Sí"/>
  </r>
  <r>
    <d v="2025-12-29T00:00:00"/>
    <s v="ALEJANDRO BARRIOS TRUJILLO"/>
    <n v="79600175"/>
    <x v="5"/>
    <s v="https://drive.google.com/drive/folders/17vatDRci4skYgrZccB0X0rBsjYGRhBVs?usp=sharing"/>
    <n v="3232150929"/>
    <x v="0"/>
    <s v="Caquetá"/>
    <s v="Florencia"/>
    <s v="RCE_260109_13"/>
    <s v="RCE_260102_3_x000a_RCE_260107_11"/>
    <d v="2026-01-13T00:00:00"/>
    <s v="Sí"/>
    <s v="Equipo Nacional"/>
    <s v="Sí"/>
  </r>
  <r>
    <d v="2026-01-07T00:00:00"/>
    <s v="JOSE ALEJANDRO BUSTAMANTE RIQUETT"/>
    <n v="1193536286"/>
    <x v="5"/>
    <s v="https://drive.google.com/drive/folders/1aC80AXsI-nwwGCbsi6_wR9FxdURR5Rh6"/>
    <n v="3194135667"/>
    <x v="0"/>
    <s v="Bogotá"/>
    <s v="Bogotá"/>
    <s v="RCE_260109_13"/>
    <s v="RCE_260106_8_x000a_RCE_260106_9"/>
    <d v="2026-01-13T00:00:00"/>
    <s v="Sí"/>
    <s v="Equipo Nacional"/>
    <s v="Sí"/>
  </r>
  <r>
    <d v="2026-01-07T00:00:00"/>
    <s v="DIEGO FERNANDO LIZARAZO BARÓN"/>
    <n v="91526637"/>
    <x v="3"/>
    <s v="https://drive.google.com/drive/folders/1ugT0mwdbtEy5DVZsmcxJtUC1iI8wJpda"/>
    <n v="3002898512"/>
    <x v="0"/>
    <s v="Bogotá"/>
    <s v="Bogotá"/>
    <s v="RCE_260109_13"/>
    <m/>
    <d v="2026-01-13T00:00:00"/>
    <s v="Sí"/>
    <s v="Equipo Nacional"/>
    <s v="Sí"/>
  </r>
  <r>
    <d v="2026-01-07T00:00:00"/>
    <s v="JHON JAIRO NOGUERA"/>
    <n v="1012419128"/>
    <x v="0"/>
    <s v="https://drive.google.com/drive/folders/140UQ7pXm7pnJJTM4bJg8hyL1qxUJ1o45?usp=sharing"/>
    <n v="3107531191"/>
    <x v="0"/>
    <s v="Bogotá"/>
    <s v="Bogotá"/>
    <s v="RCE_260109_13"/>
    <m/>
    <d v="2026-01-13T00:00:00"/>
    <s v="Sí"/>
    <s v="Equipo Técnico Territorial"/>
    <s v="Sí"/>
  </r>
  <r>
    <d v="2026-01-07T00:00:00"/>
    <s v="LEONARDO ENRIQUE PELÁEZ BUITRAGO"/>
    <n v="75088001"/>
    <x v="1"/>
    <s v="https://drive.google.com/drive/folders/1ISwyFx4qNPaIyKAPNOoJw1nYLnJYiB_G"/>
    <s v="313 415 4614"/>
    <x v="0"/>
    <s v="Bogotá"/>
    <s v="Bogotá"/>
    <s v="RCE_260109_13"/>
    <m/>
    <d v="2026-01-13T00:00:00"/>
    <s v="Sí"/>
    <s v="Equipo Técnico Territorial"/>
    <s v="No"/>
  </r>
  <r>
    <d v="2026-01-07T00:00:00"/>
    <s v="ANA VICTORIA USAGA DAVID"/>
    <n v="1017124166"/>
    <x v="1"/>
    <s v="https://drive.google.com/drive/u/1/folders/1sU1z8KafVvJrheCrErKkkZtoIf2GFOsP"/>
    <n v="3116738957"/>
    <x v="3"/>
    <s v="Antioquia"/>
    <s v="Buriticá"/>
    <s v="RCE_260109_13"/>
    <m/>
    <d v="2026-01-13T00:00:00"/>
    <s v="Sí"/>
    <s v="Equipo Técnico Territorial"/>
    <s v="Sí"/>
  </r>
  <r>
    <d v="2026-01-07T00:00:00"/>
    <s v="FABIO ANDRÉS RINCÓN LOZANO"/>
    <n v="1065875433"/>
    <x v="1"/>
    <s v="https://drive.google.com/drive/folders/17GromPFOABiThooep9R3E-FMtneT1ait"/>
    <n v="3172136009"/>
    <x v="2"/>
    <s v="Cesar"/>
    <s v="Aguachica"/>
    <s v="RCE_260109_13"/>
    <m/>
    <d v="2026-01-13T00:00:00"/>
    <s v="Sí"/>
    <s v="Equipo Técnico Territorial"/>
    <s v="Sí"/>
  </r>
  <r>
    <d v="2026-01-07T00:00:00"/>
    <s v="DIEGO FERNANDO OVIEDO MEDINA"/>
    <n v="1018417285"/>
    <x v="1"/>
    <s v="https://drive.google.com/drive/u/1/folders/1bXaBBrDr_WCwnLjO-lG-QRdlgI-5SRux"/>
    <s v="3133492495/3164354792"/>
    <x v="3"/>
    <s v="Valle del cauca"/>
    <s v="Palmira"/>
    <s v="RCE_260109_13"/>
    <m/>
    <d v="2026-01-17T00:00:00"/>
    <s v="Sí"/>
    <s v="Equipo Técnico Territorial"/>
    <s v="Sí"/>
  </r>
  <r>
    <d v="2026-01-07T00:00:00"/>
    <s v="VIVIANA PATRICIA RAMOS GUZMAN"/>
    <n v="28556566"/>
    <x v="4"/>
    <s v="https://drive.google.com/drive/folders/1bTG1LNIkMbT5vW7WWZHC8dyJAx_AYxYD"/>
    <s v="317 6809533 – 310 3265477"/>
    <x v="4"/>
    <s v="Bogotá"/>
    <s v="Bogotá"/>
    <s v="RCE_260109_13"/>
    <m/>
    <d v="2026-01-13T00:00:00"/>
    <s v="Sí"/>
    <s v="Equipo Nacional"/>
    <s v="Sí"/>
  </r>
  <r>
    <d v="2026-01-07T00:00:00"/>
    <s v="ALEXANDER CARDENAS BARRIOS"/>
    <n v="1012437010"/>
    <x v="8"/>
    <s v="https://drive.google.com/drive/folders/1114T75FrhIKd-7egQhkoSc2UV_4CCvb3?usp=drive_link"/>
    <n v="3005328220"/>
    <x v="0"/>
    <s v="Bogotá"/>
    <s v="Bogotá"/>
    <s v="RCE_260109_13"/>
    <m/>
    <d v="2026-01-13T00:00:00"/>
    <s v="Sí"/>
    <s v="Equipo Nacional"/>
    <s v="Sí"/>
  </r>
  <r>
    <d v="2026-01-07T00:00:00"/>
    <s v="LAURA CAMILA NARANJO SARMIENTO"/>
    <n v="1012462137"/>
    <x v="8"/>
    <s v="https://drive.google.com/drive/folders/1nweZBxXRHcawBvpqJCijzct89Up1_Was"/>
    <s v="300 415 3381"/>
    <x v="0"/>
    <s v="Bogotá"/>
    <s v="Bogotá"/>
    <s v="RCE_260109_13"/>
    <m/>
    <d v="2026-01-13T00:00:00"/>
    <s v="Sí"/>
    <s v="Equipo Nacional"/>
    <s v="Sí"/>
  </r>
  <r>
    <d v="2026-01-07T00:00:00"/>
    <s v="SARAMINTA SÁNCHEZ ARANGO"/>
    <n v="40393795"/>
    <x v="5"/>
    <s v="https://drive.google.com/drive/u/1/folders/1YR4p7IhOAIAsbDWKTbl1lZLssetKXEFB"/>
    <n v="3219459143"/>
    <x v="0"/>
    <s v="Meta"/>
    <s v="Villavicencio"/>
    <s v="RCE_260109_13"/>
    <m/>
    <d v="2026-01-13T00:00:00"/>
    <s v="Sí"/>
    <s v="Equipo Nacional"/>
    <s v="Sí"/>
  </r>
  <r>
    <d v="2026-01-07T00:00:00"/>
    <s v="ANGIE MILENA NARANJO SARMIENTO"/>
    <n v="1012427818"/>
    <x v="5"/>
    <s v="https://drive.google.com/drive/folders/1igzahsD2XT7ynoqMl1JenJlag8GjP1eB"/>
    <s v="319 689 1634"/>
    <x v="0"/>
    <s v="Bogotá"/>
    <s v="Bogotá"/>
    <s v="RCE_260109_13"/>
    <m/>
    <d v="2026-01-13T00:00:00"/>
    <s v="Sí"/>
    <s v="Equipo Nacional"/>
    <s v="Sí"/>
  </r>
  <r>
    <d v="2026-01-07T00:00:00"/>
    <s v="MARIA ALEJANDRA RIOS DÍAZ"/>
    <n v="1098607877"/>
    <x v="6"/>
    <s v="https://drive.google.com/drive/u/1/folders/1psNRBC2-rc_YnA7i4r_UV5RlaisvBZOg"/>
    <n v="3015013628"/>
    <x v="0"/>
    <s v="Bogotá"/>
    <s v="Bogotá"/>
    <s v="RCE_260109_13"/>
    <m/>
    <d v="2026-01-13T00:00:00"/>
    <s v="Sí"/>
    <s v="Equipo Nacional"/>
    <s v="Sí"/>
  </r>
  <r>
    <d v="2026-01-07T00:00:00"/>
    <s v="DEYSSY PATRICIA TOVAR"/>
    <n v="52315830"/>
    <x v="7"/>
    <s v="https://drive.google.com/drive/folders/1rV9sAM3swms-NvrwBPq_ZaJpnXO9qQHB?usp=sharing"/>
    <n v="3142826978"/>
    <x v="0"/>
    <s v="Bogotá"/>
    <s v="Bogotá"/>
    <s v="RCE_260109_13"/>
    <m/>
    <d v="2026-01-13T00:00:00"/>
    <s v="Sí"/>
    <s v="Equipo Nacional"/>
    <s v="Sí"/>
  </r>
  <r>
    <d v="2026-01-13T00:00:00"/>
    <s v="ANGIE ESTEFANIA LINAREZ ROJAS"/>
    <n v="1010038738"/>
    <x v="5"/>
    <s v="https://drive.google.com/drive/folders/1rQALceEzUmd7Z8vLTyar07S9r_IZegVT?usp=drive_link"/>
    <n v="3223610539"/>
    <x v="0"/>
    <s v="Bogotá"/>
    <s v="Bogotá"/>
    <s v="RCE_260109_13 _x000a_RCE_260116_18"/>
    <m/>
    <d v="2026-01-21T00:00:00"/>
    <s v="Sí"/>
    <s v="Equipo Nacional"/>
    <s v="Sí"/>
  </r>
  <r>
    <d v="2026-01-13T00:00:00"/>
    <s v="ADRIANA PILAR LEAL ALFONSO"/>
    <n v="1012334681"/>
    <x v="5"/>
    <s v="https://drive.google.com/drive/folders/1BzmHZ9AzbUk_t97ZRxGA6SB5bl5FD36g"/>
    <s v="3108873339 - 3208309836"/>
    <x v="0"/>
    <s v="Bogotá"/>
    <s v="Bogotá"/>
    <s v="RCE_260109_13 _x000a_RCE_260116_18"/>
    <m/>
    <d v="2026-01-21T00:00:00"/>
    <s v="Sí"/>
    <s v="Equipo Nacional"/>
    <s v="Sí"/>
  </r>
  <r>
    <d v="2025-12-29T00:00:00"/>
    <s v="ALEJANDRA ROMERO CASTILLO"/>
    <n v="1001113227"/>
    <x v="7"/>
    <s v="https://drive.google.com/drive/folders/1kj7rZzDVQ8DLc8ATtZeidgd2CDZlevKQ"/>
    <n v="3168592241"/>
    <x v="2"/>
    <s v="Bogotá"/>
    <s v="Bogotá"/>
    <s v="RCE_260109_13_x000a_RCE_260122_28_x000a_RCE_260205_39"/>
    <s v="RCE_260105_7"/>
    <d v="2026-01-27T00:00:00"/>
    <s v="Sí"/>
    <s v="Equipo Nacional"/>
    <s v="Sí"/>
  </r>
  <r>
    <d v="2026-01-07T00:00:00"/>
    <s v="RAFAEL ANGEL SANCHEZ LUNA"/>
    <n v="72125108"/>
    <x v="1"/>
    <s v="https://drive.google.com/drive/folders/1_eJnT_s1J6XszrSXDqA96-HMhgZTods6?usp=sharing"/>
    <n v="3207717327"/>
    <x v="2"/>
    <s v="Cesar"/>
    <s v="Aguachica"/>
    <s v="RCE_260109_14 "/>
    <m/>
    <d v="2026-01-13T00:00:00"/>
    <s v="Sí"/>
    <s v="Equipo Técnico Territorial"/>
    <s v="Sí"/>
  </r>
  <r>
    <d v="2026-01-07T00:00:00"/>
    <s v="GERMAN RICARDO TRIANA IBARRA"/>
    <n v="11438274"/>
    <x v="4"/>
    <s v="https://drive.google.com/drive/u/0/folders/1Dm9toElCUhi6jKTjx2CuqOoOT5wO1o5O"/>
    <n v="3125775124"/>
    <x v="0"/>
    <s v="Bogotá"/>
    <s v="Bogotá"/>
    <s v="RCE_260109_14 "/>
    <m/>
    <d v="2026-01-13T00:00:00"/>
    <s v="Sí"/>
    <s v="Equipo Nacional"/>
    <s v="Sí"/>
  </r>
  <r>
    <d v="2026-01-07T00:00:00"/>
    <s v="PAOLA ANDREA MAYORGA AVILES"/>
    <n v="1030666129"/>
    <x v="4"/>
    <s v="https://drive.google.com/drive/folders/1qmvwprXCT80TevLFyGldvH-wxTYsPza4?usp=share_link"/>
    <n v="3132947666"/>
    <x v="0"/>
    <s v="Bogotá"/>
    <s v="Bogotá"/>
    <s v="RCE_260109_14 "/>
    <m/>
    <d v="2026-01-13T00:00:00"/>
    <s v="Sí"/>
    <s v="Equipo Nacional"/>
    <s v="Sí"/>
  </r>
  <r>
    <d v="2026-01-07T00:00:00"/>
    <s v="ZAMANTHA GONZALEZ CUESTA"/>
    <n v="1049622701"/>
    <x v="5"/>
    <s v="https://drive.google.com/drive/folders/1bythcTsEYPpd7ggAHSiOo0N3d4zL5rFP"/>
    <n v="3209471762"/>
    <x v="0"/>
    <s v="Bogotá"/>
    <s v="Bogotá"/>
    <s v="RCE_260109_14 "/>
    <m/>
    <d v="2026-01-13T00:00:00"/>
    <s v="Sí"/>
    <s v="Equipo Nacional"/>
    <s v="Sí"/>
  </r>
  <r>
    <d v="2026-01-07T00:00:00"/>
    <s v="CAROLINA BLANCO VILLAMIZAR"/>
    <n v="37864950"/>
    <x v="6"/>
    <s v="https://drive.google.com/drive/folders/1C0itfnaKpJ4BMOPeVwn9hUUtFkoPjnwS"/>
    <n v="3125872033"/>
    <x v="1"/>
    <s v="Arauca"/>
    <s v="Saravena"/>
    <s v="RCE_260109_14 "/>
    <m/>
    <d v="2026-01-13T00:00:00"/>
    <s v="Sí"/>
    <s v="Equipo Nacional"/>
    <s v="Sí"/>
  </r>
  <r>
    <d v="2026-01-07T00:00:00"/>
    <s v="NANCY PAOLA BOLIVAR CUCHIA"/>
    <n v="52216823"/>
    <x v="7"/>
    <s v="https://drive.google.com/drive/u/0/folders/1wez4-H6u8h-ll3ytUw1k076VLVR6y14Z"/>
    <s v="301 3877377"/>
    <x v="0"/>
    <s v="Bogotá"/>
    <s v="Bogotá"/>
    <s v="RCE_260109_14 "/>
    <m/>
    <d v="2026-01-13T00:00:00"/>
    <s v="Sí"/>
    <s v="Equipo Nacional"/>
    <s v="Sí"/>
  </r>
  <r>
    <d v="2026-01-10T00:00:00"/>
    <s v="YANINFA MENA PALACIOS"/>
    <n v="35570118"/>
    <x v="2"/>
    <s v="https://drive.google.com/drive/folders/1a60CwOA7OAXE_z5DA2Y5gtnjZcL6RLHN?usp=sharing"/>
    <n v="3216293417"/>
    <x v="3"/>
    <s v="Chocó"/>
    <s v="Quibdó"/>
    <s v="RCE_260114_15"/>
    <m/>
    <m/>
    <s v="Sí"/>
    <s v="Equipo Técnico Territorial"/>
    <s v="Sí"/>
  </r>
  <r>
    <d v="2026-01-10T00:00:00"/>
    <s v="MARIA DIANNI PALACIOS PALACIOS"/>
    <n v="35896960"/>
    <x v="2"/>
    <s v="https://drive.google.com/drive/folders/1kZjMbfgQo_bShyrvGVsYnATvUp59X6ae?usp=sharing"/>
    <n v="3216405726"/>
    <x v="3"/>
    <s v="Chocó"/>
    <s v="Quibdó"/>
    <s v="RCE_260114_15"/>
    <m/>
    <d v="2026-01-17T00:00:00"/>
    <s v="Sí"/>
    <s v="Equipo Técnico Territorial"/>
    <s v="Sí"/>
  </r>
  <r>
    <d v="2026-01-10T00:00:00"/>
    <s v="YENECY CORDOBA VALOYES"/>
    <n v="1077447769"/>
    <x v="2"/>
    <s v="https://drive.google.com/drive/folders/1ZDKcOcj0MvJJBvmGuPAHjuHCcvUdAYo7?usp=sharing"/>
    <n v="3233760316"/>
    <x v="3"/>
    <s v="Chocó"/>
    <s v="Quibdó"/>
    <s v="RCE_260114_15"/>
    <m/>
    <d v="2026-01-17T00:00:00"/>
    <s v="Sí"/>
    <s v="Equipo Técnico Territorial"/>
    <s v="Sí"/>
  </r>
  <r>
    <d v="2026-01-10T00:00:00"/>
    <s v="ANDRES ARCE LOPEZ"/>
    <n v="1152469339"/>
    <x v="1"/>
    <s v="https://drive.google.com/drive/folders/1SE6rNV8zP7ssl9-jrAyv4DYLkKEgutHH?usp=sharing"/>
    <n v="3207490294"/>
    <x v="3"/>
    <s v="Chocó"/>
    <s v="Quibdó"/>
    <s v="RCE_260114_15"/>
    <m/>
    <d v="2026-01-21T00:00:00"/>
    <s v="Sí"/>
    <s v="Equipo Técnico Territorial"/>
    <s v="Sí"/>
  </r>
  <r>
    <d v="2026-01-10T00:00:00"/>
    <s v="OSCARINA LACOUTURE SALINAS"/>
    <n v="49720418"/>
    <x v="2"/>
    <s v="https://drive.google.com/drive/folders/1S9NTU2QVXZ25MYFB_CvrcISe3mpYabKo?usp=sharing"/>
    <n v="3176387992"/>
    <x v="2"/>
    <s v="Cesar"/>
    <s v="Valledupar"/>
    <s v="RCE_260115_17"/>
    <m/>
    <d v="2026-01-17T00:00:00"/>
    <s v="Sí"/>
    <s v="Equipo Técnico Territorial"/>
    <s v="No"/>
  </r>
  <r>
    <d v="2026-01-10T00:00:00"/>
    <s v="EDUARD ENRIQUE CANO HERNANDEZ"/>
    <n v="1012432233"/>
    <x v="2"/>
    <s v="https://drive.google.com/drive/folders/1UkifqUz0H1Mw4PvtPxdpXG1KYNMYfoEE?usp=sharing"/>
    <n v="3114785812"/>
    <x v="0"/>
    <s v="Bogotá"/>
    <s v="Bogotá"/>
    <s v="RCE_260115_17"/>
    <m/>
    <d v="2026-01-17T00:00:00"/>
    <s v="Sí"/>
    <s v="Equipo Técnico Territorial"/>
    <s v="Sí"/>
  </r>
  <r>
    <d v="2026-01-10T00:00:00"/>
    <s v="NATALIA GÓMEZ HUERTAS"/>
    <n v="1024550572"/>
    <x v="2"/>
    <s v="https://drive.google.com/drive/folders/17jUvhJhkNTmYlM4cYwaYnPnOdQ2Y4S0v?usp=sharing"/>
    <s v="316 433 20 27"/>
    <x v="0"/>
    <s v="Bogotá"/>
    <s v="Bogotá"/>
    <s v="RCE_260115_17"/>
    <m/>
    <d v="2026-01-17T00:00:00"/>
    <s v="Sí"/>
    <s v="Equipo Técnico Territorial"/>
    <s v="No"/>
  </r>
  <r>
    <d v="2026-01-10T00:00:00"/>
    <s v="Olgamilena Jaramillo León"/>
    <n v="1033724236"/>
    <x v="2"/>
    <s v="https://drive.google.com/drive/folders/1IQYrSdQ8at8U3kmPxq_Ka-B2hfRo1qfe?usp=sharing"/>
    <s v="320 4152413"/>
    <x v="0"/>
    <s v="Bogotá"/>
    <s v="Bogotá"/>
    <s v="RCE_260115_17"/>
    <m/>
    <d v="2026-01-17T00:00:00"/>
    <s v="Sí"/>
    <s v="Equipo Técnico Territorial"/>
    <s v="Sí"/>
  </r>
  <r>
    <d v="2026-01-10T00:00:00"/>
    <s v="JOHANNA PAOLA ARRAUTH ACOSTA"/>
    <n v="1064986436"/>
    <x v="2"/>
    <s v="https://drive.google.com/drive/folders/1QUoO9PYo3hBaoF8B-G3QOZEXbMJAN0ft?usp=sharing"/>
    <n v="3004725119"/>
    <x v="2"/>
    <s v="Sucre"/>
    <s v="Sincelejo"/>
    <s v="RCE_260115_17"/>
    <m/>
    <d v="2026-01-17T00:00:00"/>
    <s v="Sí"/>
    <s v="Equipo Técnico Territorial"/>
    <s v="Sí"/>
  </r>
  <r>
    <d v="2026-01-10T00:00:00"/>
    <s v="MONICA SANCHEZ YAYA"/>
    <n v="1072649288"/>
    <x v="2"/>
    <s v="https://drive.google.com/drive/folders/19KczPXIQwkfXcC9GLMAwqPHVy0WhtdJN?usp=sharing"/>
    <s v="310 2862514"/>
    <x v="4"/>
    <s v="Cundinamarca"/>
    <s v="Chía"/>
    <s v="RCE_260115_17"/>
    <m/>
    <d v="2026-01-17T00:00:00"/>
    <s v="Sí"/>
    <s v="Equipo Técnico Territorial"/>
    <s v="No"/>
  </r>
  <r>
    <d v="2026-01-10T00:00:00"/>
    <s v="RAÚL TOMSON SALAS BEYTAR"/>
    <n v="8324104"/>
    <x v="1"/>
    <s v="https://drive.google.com/drive/folders/1mijS_f0STcB_ts1hwR62zyZrCiWxk_cn?usp=sharing"/>
    <n v="3114399647"/>
    <x v="3"/>
    <s v="Antioquia"/>
    <s v="Apartadó"/>
    <s v="RCE_260115_17"/>
    <m/>
    <d v="2026-01-17T00:00:00"/>
    <s v="Sí"/>
    <s v="Equipo Técnico Territorial"/>
    <s v="Sí"/>
  </r>
  <r>
    <d v="2026-01-10T00:00:00"/>
    <s v="MIGUEL EDUARDO OLMOS DE LA ROSA"/>
    <n v="8641177"/>
    <x v="1"/>
    <s v="https://drive.google.com/drive/folders/18ek6dQDyIPXEbEx8DbfjCdwIggyrvG7a?usp=sharing"/>
    <n v="3004428375"/>
    <x v="2"/>
    <s v="Atlántico"/>
    <s v="Sabanalarga"/>
    <s v="RCE_260115_17"/>
    <m/>
    <d v="2026-01-17T00:00:00"/>
    <s v="Sí"/>
    <s v="Equipo Técnico Territorial"/>
    <s v="No"/>
  </r>
  <r>
    <d v="2026-01-10T00:00:00"/>
    <s v="RAFAEL ENRIQUE ARRAZOLA BEDOYA"/>
    <n v="10285901"/>
    <x v="1"/>
    <s v="https://drive.google.com/drive/folders/10ZE1mJe7e2AUkuSKh6irra4fygr-MIO_?usp=sharing"/>
    <n v="3108544203"/>
    <x v="4"/>
    <s v="Risaralda"/>
    <s v="Pereira"/>
    <s v="RCE_260115_17"/>
    <m/>
    <d v="2026-01-17T00:00:00"/>
    <s v="Sí"/>
    <s v="Equipo Técnico Territorial"/>
    <s v="No"/>
  </r>
  <r>
    <d v="2026-01-10T00:00:00"/>
    <s v="ANTHONY RONDON CAMACHO"/>
    <n v="14295673"/>
    <x v="1"/>
    <s v="https://drive.google.com/drive/folders/1JFK2KpKtyA9Xyg44gFV4-Kdqo5F6nBuB?usp=sharing"/>
    <n v="3208144940"/>
    <x v="4"/>
    <s v="Tolima"/>
    <s v="Ibagué"/>
    <s v="RCE_260115_17"/>
    <m/>
    <d v="2026-01-17T00:00:00"/>
    <s v="Sí"/>
    <s v="Equipo Técnico Territorial"/>
    <s v="No"/>
  </r>
  <r>
    <d v="2026-01-10T00:00:00"/>
    <s v="IVONNE ANDREA BAUTISTA DÍAZ"/>
    <n v="52764722"/>
    <x v="1"/>
    <s v="https://drive.google.com/drive/folders/1Yhp8gHFhJfm_RQifJECKCmaIAXkBhSmm?usp=sharing"/>
    <s v="315-8692810"/>
    <x v="4"/>
    <s v="Bogotá"/>
    <s v="Bogotá"/>
    <s v="RCE_260115_17"/>
    <m/>
    <d v="2026-01-17T00:00:00"/>
    <s v="Sí"/>
    <s v="Equipo Técnico Territorial"/>
    <s v="Sí"/>
  </r>
  <r>
    <d v="2026-01-10T00:00:00"/>
    <s v="OSCAR FERNANDO CUBILLOS"/>
    <n v="74181048"/>
    <x v="1"/>
    <s v="https://drive.google.com/drive/folders/1spy83z2g04ypXRk2x5pNRt1Zs-nuIwd6?usp=sharing"/>
    <n v="3204492481"/>
    <x v="4"/>
    <s v="Tolima"/>
    <s v="Ibagué"/>
    <s v="RCE_260115_17"/>
    <m/>
    <d v="2026-01-17T00:00:00"/>
    <s v="Sí"/>
    <s v="Equipo Técnico Territorial"/>
    <s v="Sí"/>
  </r>
  <r>
    <d v="2026-01-10T00:00:00"/>
    <s v="DIEGO ARMANDO OSPINA TOVAR."/>
    <n v="79977580"/>
    <x v="1"/>
    <s v="https://drive.google.com/drive/folders/1fb6jHqSQRZBiFvhH1cqLJZfFyg7iBxAK?usp=sharing"/>
    <n v="3203479612"/>
    <x v="0"/>
    <s v="Bogotá"/>
    <s v="Bogotá"/>
    <s v="RCE_260115_17"/>
    <m/>
    <d v="2026-01-17T00:00:00"/>
    <s v="Sí"/>
    <s v="Equipo Técnico Territorial"/>
    <s v="Sí"/>
  </r>
  <r>
    <d v="2026-01-10T00:00:00"/>
    <s v="MANUEL DARIO CASTRO PINILLA"/>
    <n v="80095778"/>
    <x v="1"/>
    <s v="https://drive.google.com/drive/folders/1DcHyPLTL9GlpwG2dlqHDCJg7vgFpRaus?usp=sharing"/>
    <s v="317 368 4308"/>
    <x v="0"/>
    <s v="Bogotá"/>
    <s v="Bogotá"/>
    <s v="RCE_260115_17"/>
    <m/>
    <d v="2026-01-17T00:00:00"/>
    <s v="Sí"/>
    <s v="Equipo Técnico Territorial"/>
    <s v="No"/>
  </r>
  <r>
    <d v="2026-01-10T00:00:00"/>
    <s v="LOBSANG RAFAEL ZAPATA"/>
    <n v="1020724601"/>
    <x v="1"/>
    <s v="https://drive.google.com/drive/folders/1K2H-IqqrJ6tzxHhJ9vjU6-NJxrSvpAmi?usp=sharing"/>
    <n v="3184101439"/>
    <x v="4"/>
    <s v="Cundinamarca"/>
    <s v="Cajicá"/>
    <s v="RCE_260115_17"/>
    <m/>
    <d v="2026-01-17T00:00:00"/>
    <s v="Sí"/>
    <s v="Equipo Técnico Territorial"/>
    <s v="No"/>
  </r>
  <r>
    <d v="2026-01-10T00:00:00"/>
    <s v="WILMAR JAVIER FORERO URREGO"/>
    <n v="1070705943"/>
    <x v="1"/>
    <s v="https://drive.google.com/drive/folders/1Fzhb7SFuDe1cgsXj59TZrXQKAvs0YXRk?usp=sharing"/>
    <n v="3123289168"/>
    <x v="4"/>
    <s v="Cundinamarca"/>
    <s v="El rosal"/>
    <s v="RCE_260115_17"/>
    <m/>
    <d v="2026-01-17T00:00:00"/>
    <s v="Sí"/>
    <s v="Equipo Técnico Territorial"/>
    <s v="Sí"/>
  </r>
  <r>
    <d v="2026-01-10T00:00:00"/>
    <s v="KEYLA YINETH ROBLES QUIENTERO"/>
    <n v="1091665088"/>
    <x v="1"/>
    <s v="https://drive.google.com/drive/folders/1oxobozdZ7fO2sq6VIZqFMr1kWnmhtqZZ?usp=sharing"/>
    <n v="3167534128"/>
    <x v="1"/>
    <s v="Norte de Santander"/>
    <s v="Ocaña "/>
    <s v="RCE_260115_17"/>
    <m/>
    <d v="2026-01-17T00:00:00"/>
    <s v="Sí"/>
    <s v="Equipo Técnico Territorial"/>
    <s v="No"/>
  </r>
  <r>
    <d v="2026-01-10T00:00:00"/>
    <s v="ANGELICA PEÑALOZA MARTINEZ"/>
    <n v="52693344"/>
    <x v="2"/>
    <s v="https://drive.google.com/drive/folders/1lp0lQFoHpuYKopMGFzmfvk0Stk7qQjkW?usp=drive_link"/>
    <n v="3229398022"/>
    <x v="0"/>
    <s v="Bogotá"/>
    <s v="Bogotá"/>
    <s v="RCE_260115_17_x000a_RCE_260121_24_x000a_"/>
    <m/>
    <d v="2026-01-27T00:00:00"/>
    <s v="Sí"/>
    <s v="Equipo Técnico Territorial"/>
    <s v="Sí"/>
  </r>
  <r>
    <d v="2026-01-10T00:00:00"/>
    <s v="EMEL FRANCISCO CONSTANTE ORTEGA"/>
    <n v="6870817"/>
    <x v="1"/>
    <s v="https://drive.google.com/drive/folders/1N8qkQSGKhSyFRt9jURH5KPNbEQP3LwMj?usp=sharing"/>
    <s v="3215879724, 3016571863"/>
    <x v="2"/>
    <s v="Cesar"/>
    <s v="Valledupar"/>
    <s v="RCE_260115_17_x000a_RCE_260121_24_x000a_"/>
    <m/>
    <d v="2026-01-27T00:00:00"/>
    <s v="Sí"/>
    <s v="Equipo Técnico Territorial"/>
    <s v="Sí"/>
  </r>
  <r>
    <d v="2026-01-10T00:00:00"/>
    <s v="NATHALY JOHANA RIASCOS MAYA"/>
    <n v="37088246"/>
    <x v="2"/>
    <s v="https://drive.google.com/drive/folders/197k9oFXOPt1kC-zJmxTCK8dty206kxyy?usp=sharing"/>
    <n v="3023532173"/>
    <x v="3"/>
    <s v="Nariño"/>
    <s v="PASTO"/>
    <s v="RCE_260116_18"/>
    <m/>
    <d v="2026-01-17T00:00:00"/>
    <s v="Sí"/>
    <s v="Equipo Técnico Territorial"/>
    <s v="Sí"/>
  </r>
  <r>
    <d v="2026-01-10T00:00:00"/>
    <s v="YADIRA LEYDA TOBÓN ARTEAGA"/>
    <n v="32109444"/>
    <x v="1"/>
    <s v="https://drive.google.com/drive/folders/1yFKfg36LTLy2S_glOatNyTS5_VIZvAXF?usp=sharing"/>
    <n v="3144870932"/>
    <x v="3"/>
    <s v="Antioquia"/>
    <s v="Barbosa"/>
    <s v="RCE_260116_18"/>
    <m/>
    <d v="2026-01-17T00:00:00"/>
    <s v="Sí"/>
    <s v="Equipo Técnico Territorial"/>
    <s v="No"/>
  </r>
  <r>
    <d v="2026-01-10T00:00:00"/>
    <s v="LEDY LUZ CONTRERAS CONTRERAS"/>
    <n v="110280373"/>
    <x v="1"/>
    <s v="https://drive.google.com/drive/folders/1Tjc6vFUd1UvWtJSYrPjbbVijiGge8qUv?usp=sharing"/>
    <n v="3106715859"/>
    <x v="2"/>
    <s v="Sucre"/>
    <s v="Sincelejo"/>
    <s v="RCE_260116_18"/>
    <m/>
    <d v="2026-01-17T00:00:00"/>
    <s v="Sí"/>
    <s v="Equipo Técnico Territorial"/>
    <s v="Sí"/>
  </r>
  <r>
    <d v="2026-01-10T00:00:00"/>
    <s v="JUAN SEBASTIÁN FLOMIN RIVERA"/>
    <n v="1110477277"/>
    <x v="1"/>
    <s v="https://drive.google.com/drive/folders/1mV0B8-ZamWW1Lqd_o7sZJiRSAno8SMW2?usp=sharing"/>
    <n v="3023238936"/>
    <x v="0"/>
    <s v="Tolima"/>
    <s v="Ibagué"/>
    <s v="RCE_260116_18"/>
    <m/>
    <d v="2026-01-17T00:00:00"/>
    <s v="Sí"/>
    <s v="Equipo Técnico Territorial"/>
    <s v="No"/>
  </r>
  <r>
    <s v="7/01/2026 _x000a_10/01/2026"/>
    <s v="LAURA NATALY DUARTE ROMERO"/>
    <n v="1026290830"/>
    <x v="0"/>
    <s v="https://drive.google.com/drive/folders/1VKNpBIxwayiqzhgDcng7QU1imXnNbqIn?usp=drive_link"/>
    <n v="3004211673"/>
    <x v="0"/>
    <s v="Bogotá"/>
    <s v="Bogotá"/>
    <s v="RCE_260116_19"/>
    <s v="RCE_260109_12_x000a_RCE_260115_16"/>
    <d v="2026-01-27T00:00:00"/>
    <s v="Sí"/>
    <s v="Equipo Técnico Territorial"/>
    <s v="Sí"/>
  </r>
  <r>
    <d v="2026-01-16T00:00:00"/>
    <s v="PAULA ANDREA SOLÍS URIBE"/>
    <n v="25291032"/>
    <x v="7"/>
    <s v="https://drive.google.com/drive/folders/1V836DZWAX38NEtJaZ7rSnXNtDJbobxIY"/>
    <n v="3225565393"/>
    <x v="3"/>
    <s v="Nariño"/>
    <s v="Pasto"/>
    <s v="RCE_260119_20"/>
    <s v="RCE_260109_12"/>
    <d v="2026-01-21T00:00:00"/>
    <s v="Sí"/>
    <s v="Equipo Nacional"/>
    <s v="No"/>
  </r>
  <r>
    <d v="2026-01-16T00:00:00"/>
    <s v="ADRIANA XIMENA RODRÍGUEZ MORENO"/>
    <n v="53131354"/>
    <x v="2"/>
    <s v="https://drive.google.com/drive/folders/1pVIY1xG2muWKbNpEsrrHQee1KEAzdaQC?usp=sharing"/>
    <n v="3142490083"/>
    <x v="0"/>
    <s v="Bogotá"/>
    <s v="Bogotá"/>
    <s v="RCE_260119_20"/>
    <m/>
    <d v="2026-01-27T00:00:00"/>
    <s v="Sí"/>
    <s v="Equipo Técnico Territorial"/>
    <s v="Sí"/>
  </r>
  <r>
    <d v="2026-01-16T00:00:00"/>
    <s v="PAULA DANIELA CALVO FLORES"/>
    <n v="1013660735"/>
    <x v="2"/>
    <s v="https://drive.google.com/drive/folders/1mHg7O-Obc_lN4Om9KrshZkT0ZDrzQJ9l?usp=sharing"/>
    <s v="313 3428464"/>
    <x v="0"/>
    <s v="Bogotá"/>
    <s v="Bogotá"/>
    <s v="RCE_260119_20"/>
    <m/>
    <d v="2026-01-27T00:00:00"/>
    <s v="Sí"/>
    <s v="Equipo Técnico Territorial"/>
    <s v="Sí"/>
  </r>
  <r>
    <d v="2026-01-16T00:00:00"/>
    <s v="VANESSA QUIÑÓNEZ DUARTE"/>
    <n v="1018478509"/>
    <x v="2"/>
    <s v="https://drive.google.com/drive/folders/11w7dC-oITo0Ji-os7IwVFLpy9Q5Cfgn-?usp=sharing"/>
    <s v="310 854 9007"/>
    <x v="0"/>
    <s v="Bogotá"/>
    <s v="Bogotá"/>
    <s v="RCE_260119_20"/>
    <m/>
    <d v="2026-01-27T00:00:00"/>
    <s v="Sí"/>
    <s v="Equipo Técnico Territorial"/>
    <s v="Sí"/>
  </r>
  <r>
    <d v="2026-01-16T00:00:00"/>
    <s v="ÁLVARO MEDINA BUITRAGO"/>
    <n v="93138199"/>
    <x v="0"/>
    <s v="https://drive.google.com/drive/folders/1wkuG_IaL6dZUALzdLrvkNvCB9vJ6Y_l5?usp=sharing"/>
    <n v="3022871774"/>
    <x v="2"/>
    <s v="Bogotá"/>
    <s v="Bogotá"/>
    <s v="RCE_260119_20"/>
    <m/>
    <d v="2026-01-27T00:00:00"/>
    <s v="Sí"/>
    <s v="Equipo Técnico Territorial"/>
    <s v="Sí"/>
  </r>
  <r>
    <d v="2026-01-16T00:00:00"/>
    <s v="JENNY VANESA MUÑOZ MOSCOSO"/>
    <n v="1014189907"/>
    <x v="0"/>
    <s v="https://drive.google.com/drive/folders/14w8NP9cikTxjhKWsotmoTvXwmNNb_p37?usp=sharing"/>
    <n v="3025915057"/>
    <x v="2"/>
    <s v="Bogotá"/>
    <s v="Bogotá"/>
    <s v="RCE_260119_20"/>
    <m/>
    <d v="2026-01-27T00:00:00"/>
    <s v="Sí"/>
    <s v="Equipo Técnico Territorial"/>
    <s v="Sí"/>
  </r>
  <r>
    <d v="2026-01-16T00:00:00"/>
    <s v="MARILUZ AYALA HERNÁNDEZ"/>
    <n v="28070162"/>
    <x v="1"/>
    <s v="https://drive.google.com/drive/folders/1jZEMzm036QESPqhLcDLl-jCrAUwt0-Ta?usp=sharing"/>
    <s v="318 2560795"/>
    <x v="1"/>
    <s v="Santander"/>
    <s v="Barrancabermeja"/>
    <s v="RCE_260119_20"/>
    <m/>
    <d v="2026-01-21T00:00:00"/>
    <s v="Sí"/>
    <s v="Equipo Técnico Territorial"/>
    <s v="Sí"/>
  </r>
  <r>
    <d v="2026-01-16T00:00:00"/>
    <s v="DIANA MARÍA VARGAS MOLANO"/>
    <n v="28979122"/>
    <x v="1"/>
    <s v="https://drive.google.com/drive/folders/13pXHR5KGUY9p6_Y0knqZOS2aTVQ8ZoYM?usp=sharing"/>
    <n v="3176431182"/>
    <x v="4"/>
    <s v="Tolima"/>
    <s v="Ibagué"/>
    <s v="RCE_260119_20"/>
    <m/>
    <d v="2026-01-21T00:00:00"/>
    <s v="Sí"/>
    <s v="Equipo Técnico Territorial"/>
    <s v="Sí"/>
  </r>
  <r>
    <d v="2026-01-16T00:00:00"/>
    <s v="MARÍA CONSUELO MADARIAGA PRADO"/>
    <n v="37182404"/>
    <x v="1"/>
    <s v="https://drive.google.com/drive/folders/1NE6ISPVeNv7BtNXHlGtPALC-ftgoOwcf?usp=sharing"/>
    <n v="0"/>
    <x v="1"/>
    <s v="Norte de Santander"/>
    <s v="Ocaña"/>
    <s v="RCE_260119_20"/>
    <m/>
    <d v="2026-01-27T00:00:00"/>
    <s v="Sí"/>
    <s v="Equipo Técnico Territorial"/>
    <s v="Sí"/>
  </r>
  <r>
    <d v="2026-01-16T00:00:00"/>
    <s v="HUGO NOGUERA ARIAS"/>
    <n v="87303394"/>
    <x v="1"/>
    <s v="https://drive.google.com/drive/folders/1Vt9aty3BhJrWdcgwi59D-62Zh7gCRcKS?usp=sharing"/>
    <n v="3146417427"/>
    <x v="3"/>
    <s v="Nariño"/>
    <s v="Tambo"/>
    <s v="RCE_260119_20"/>
    <m/>
    <d v="2026-01-27T00:00:00"/>
    <s v="Sí"/>
    <s v="Equipo Técnico Territorial"/>
    <s v="Sí"/>
  </r>
  <r>
    <d v="2026-01-16T00:00:00"/>
    <s v="LAURA VALENTINA VILLABÓN SIERRA"/>
    <n v="1193428099"/>
    <x v="5"/>
    <s v="https://drive.google.com/drive/folders/1ibgdYOVlDtxR8f8HT_hN1PoFZ308uBPr?usp=sharing"/>
    <n v="3015014481"/>
    <x v="0"/>
    <s v="Bogotá"/>
    <s v="Bogotá"/>
    <s v="RCE_260119_20"/>
    <m/>
    <d v="2026-01-27T00:00:00"/>
    <s v="Sí"/>
    <s v="Equipo Nacional"/>
    <s v="Sí"/>
  </r>
  <r>
    <d v="2026-01-16T00:00:00"/>
    <s v="DENNISSE PAOLA TULCÁN PUENTES"/>
    <n v="3606544"/>
    <x v="2"/>
    <s v="https://drive.google.com/drive/folders/1ZqsfOdsr4T_wj8xuPymkh39bygCXrl5U?usp=sharing"/>
    <s v="311 616 2115"/>
    <x v="3"/>
    <s v="Cauca"/>
    <s v="Popayán"/>
    <s v="RCE_260120_22"/>
    <m/>
    <d v="2026-01-21T00:00:00"/>
    <s v="Sí"/>
    <s v="Equipo Técnico Territorial"/>
    <s v="No"/>
  </r>
  <r>
    <d v="2026-01-16T00:00:00"/>
    <s v="MAGDA ZULAY AZABACHE NIETO"/>
    <n v="30937317"/>
    <x v="2"/>
    <s v="https://drive.google.com/drive/folders/19s8g9p2hYcNWlvYE7VuOLU7TE6QcgOJR?usp=sharing"/>
    <s v="310 866 96 62"/>
    <x v="0"/>
    <s v="Vichada"/>
    <s v="Puerto Carreño"/>
    <s v="RCE_260120_22"/>
    <m/>
    <d v="2026-01-21T00:00:00"/>
    <s v="Sí"/>
    <s v="Equipo Técnico Territorial"/>
    <s v="Sí"/>
  </r>
  <r>
    <d v="2026-01-16T00:00:00"/>
    <s v="JULIÁN ANDRÉS CERÓN BOTINA"/>
    <n v="87060780"/>
    <x v="2"/>
    <s v="https://drive.google.com/drive/folders/1lwMvlsVKaPMz3bT6-sdLS1L51BUDggys?usp=sharing"/>
    <s v="311 609 41 44"/>
    <x v="3"/>
    <s v="Nariño"/>
    <s v="Pasto"/>
    <s v="RCE_260120_22"/>
    <m/>
    <d v="2026-01-27T00:00:00"/>
    <s v="Sí"/>
    <s v="Equipo Técnico Territorial"/>
    <s v="Sí"/>
  </r>
  <r>
    <d v="2026-01-16T00:00:00"/>
    <s v="DEISY VIVIANA ARÉVALO SOTELO"/>
    <n v="1014296382"/>
    <x v="2"/>
    <s v="https://drive.google.com/drive/folders/1ff4riutPxMhOQ-pzcfhXvX0ks5PNe4Wd?usp=sharing"/>
    <s v="319 510 7128"/>
    <x v="4"/>
    <s v="Bogotá"/>
    <s v="Bogotá"/>
    <s v="RCE_260120_22"/>
    <m/>
    <d v="2026-01-27T00:00:00"/>
    <s v="Sí"/>
    <s v="Equipo Técnico Territorial"/>
    <s v="No"/>
  </r>
  <r>
    <d v="2026-01-16T00:00:00"/>
    <s v="CINDY GISELLA SARAZO MARTÍNEZ"/>
    <n v="1022405754"/>
    <x v="2"/>
    <s v="https://drive.google.com/drive/folders/1SswyEfSQzU17vP4DUYJUCSzro_c853Wd?usp=sharing"/>
    <n v="3175710589"/>
    <x v="4"/>
    <s v="Cundinamarca"/>
    <s v="Soacha"/>
    <s v="RCE_260120_22"/>
    <m/>
    <d v="2026-01-27T00:00:00"/>
    <s v="Sí"/>
    <s v="Equipo Técnico Territorial"/>
    <s v="No"/>
  </r>
  <r>
    <d v="2026-01-16T00:00:00"/>
    <s v="CARLOS ANDRÉS OLAYA URUEÑA"/>
    <n v="1026560711"/>
    <x v="2"/>
    <s v="https://drive.google.com/drive/folders/12R-NW5E-tdnmvX8kWTeczS919zL_VWma?usp=sharing"/>
    <s v="321 361 6664"/>
    <x v="0"/>
    <s v="Meta"/>
    <s v="Villavicencio"/>
    <s v="RCE_260120_22"/>
    <m/>
    <d v="2026-01-27T00:00:00"/>
    <s v="Sí"/>
    <s v="Equipo Técnico Territorial"/>
    <s v="Sí"/>
  </r>
  <r>
    <d v="2026-01-16T00:00:00"/>
    <s v="DANIEL FERNANDO ARCILA ROJAS"/>
    <n v="1053857492"/>
    <x v="2"/>
    <s v="https://drive.google.com/drive/folders/15mMB7dHZpnySZWPqcmtO5_tDJ1N6cDUQ?usp=sharing"/>
    <s v="300 512 9020"/>
    <x v="4"/>
    <s v="Caldas"/>
    <s v="Manizales"/>
    <s v="RCE_260120_22"/>
    <m/>
    <d v="2026-01-27T00:00:00"/>
    <s v="Sí"/>
    <s v="Equipo Técnico Territorial"/>
    <s v="Sí"/>
  </r>
  <r>
    <d v="2026-01-16T00:00:00"/>
    <s v="DIEGO FELIPE CAJIAO ROSERO"/>
    <n v="1061719113"/>
    <x v="2"/>
    <s v="https://drive.google.com/drive/folders/1axDWBwJDe3lb8O698LuW54Mk3epQtSrA?usp=sharing"/>
    <n v="3167593009"/>
    <x v="3"/>
    <s v="Cauca"/>
    <s v="Popayán"/>
    <s v="RCE_260120_22"/>
    <m/>
    <d v="2026-01-27T00:00:00"/>
    <s v="Sí"/>
    <s v="Equipo Técnico Territorial"/>
    <s v="Sí"/>
  </r>
  <r>
    <d v="2026-01-16T00:00:00"/>
    <s v="JUDITH DEL CARMEN ZUBIRIA PÉREZ"/>
    <n v="40941621"/>
    <x v="1"/>
    <s v="https://drive.google.com/drive/folders/1rVCDBjozehf_3yS_wjmGS9iuzaxtbDc8?usp=sharing"/>
    <s v="301 441 9205"/>
    <x v="2"/>
    <s v="Magdalena"/>
    <s v="Santa Marta"/>
    <s v="RCE_260120_22"/>
    <m/>
    <d v="2026-01-27T00:00:00"/>
    <s v="Sí"/>
    <s v="Equipo Técnico Territorial"/>
    <s v="Sí"/>
  </r>
  <r>
    <d v="2026-01-16T00:00:00"/>
    <s v="CYNTHIA ANGULO ARROYO"/>
    <n v="63554862"/>
    <x v="1"/>
    <s v="https://drive.google.com/drive/folders/16Oz7yD7yE8cVYx15Ukh95b7Uhy383Z21?usp=sharing"/>
    <n v="3204269266"/>
    <x v="1"/>
    <s v="Santander"/>
    <s v="Sabana de torres"/>
    <s v="RCE_260120_22"/>
    <m/>
    <d v="2026-01-27T00:00:00"/>
    <s v="Sí"/>
    <s v="Equipo Técnico Territorial"/>
    <s v="Sí"/>
  </r>
  <r>
    <d v="2026-01-16T00:00:00"/>
    <s v="ALDO ALEXANDER FERNÁNDEZ VARELA"/>
    <n v="85440768"/>
    <x v="1"/>
    <s v="https://drive.google.com/drive/folders/1cYibtFy0K-hSFJ8oYebthIzzPdy1LqwB?usp=sharing"/>
    <n v="3114256384"/>
    <x v="2"/>
    <s v="Cesar"/>
    <s v="Valledupar"/>
    <s v="RCE_260120_22"/>
    <m/>
    <d v="2026-01-27T00:00:00"/>
    <s v="Sí"/>
    <s v="Equipo Técnico Territorial"/>
    <s v="Sí"/>
  </r>
  <r>
    <d v="2026-01-16T00:00:00"/>
    <s v="ANDRÉS FABIÁN PINTA RODRÍGUEZ"/>
    <n v="98389640"/>
    <x v="1"/>
    <s v="https://drive.google.com/drive/folders/1OKzDzhvd9yMUIBTRarC4BBNY5wXckCtY?usp=sharing"/>
    <s v="311 605 98 05"/>
    <x v="3"/>
    <s v="Nariño"/>
    <s v="Chachagüí"/>
    <s v="RCE_260120_22"/>
    <m/>
    <d v="2026-01-27T00:00:00"/>
    <s v="Sí"/>
    <s v="Equipo Técnico Territorial"/>
    <s v="Sí"/>
  </r>
  <r>
    <d v="2026-01-16T00:00:00"/>
    <s v="JAIME ANDRÉS DUARTE GARCÍA"/>
    <n v="1056593123"/>
    <x v="1"/>
    <s v="https://drive.google.com/drive/folders/1TSAh1UBLPIuMFmaeAj2ZpQxdnqOT6qBU?usp=sharing"/>
    <n v="3212782814"/>
    <x v="0"/>
    <s v="Boyacá"/>
    <s v="Tipacoque"/>
    <s v="RCE_260120_22"/>
    <m/>
    <d v="2026-01-27T00:00:00"/>
    <s v="Sí"/>
    <s v="Equipo Técnico Territorial"/>
    <s v="Sí"/>
  </r>
  <r>
    <d v="2026-01-16T00:00:00"/>
    <s v="LEIDY YOHANA MORA GUERRERO"/>
    <n v="1064836303"/>
    <x v="1"/>
    <s v="https://drive.google.com/drive/folders/1F9kDVFDVdJZT-MjY_IjN6vsAINvozaio?usp=sharing"/>
    <n v="3154192262"/>
    <x v="1"/>
    <s v="Norte de Santander"/>
    <s v="Ocaña"/>
    <s v="RCE_260120_22"/>
    <m/>
    <d v="2026-01-27T00:00:00"/>
    <s v="Sí"/>
    <s v="Equipo Técnico Territorial"/>
    <s v="Sí"/>
  </r>
  <r>
    <d v="2026-01-16T00:00:00"/>
    <s v="ANGIE CATHERINE COLLAZOS VALENZUELA"/>
    <n v="1075317780"/>
    <x v="1"/>
    <s v="https://drive.google.com/drive/folders/1JhFE5C2rVGWozGt-91VselC87GIHEz-f?usp=sharing"/>
    <n v="3005246455"/>
    <x v="0"/>
    <s v="Caquetá"/>
    <s v="Florencia"/>
    <s v="RCE_260120_22"/>
    <m/>
    <d v="2026-01-27T00:00:00"/>
    <s v="Sí"/>
    <s v="Equipo Técnico Territorial"/>
    <s v="Sí"/>
  </r>
  <r>
    <d v="2026-01-16T00:00:00"/>
    <s v="ANGIE YISEL ZULUAGA BERNA"/>
    <n v="1120575207"/>
    <x v="1"/>
    <s v="https://drive.google.com/drive/folders/1_BF92q01BfETRlYPlIjFrbICXUkDN_nr?usp=sharing"/>
    <s v="313 334 32 33"/>
    <x v="0"/>
    <s v="Guaviare"/>
    <s v="San jose del guiaviare"/>
    <s v="RCE_260120_22"/>
    <m/>
    <d v="2026-01-27T00:00:00"/>
    <s v="Sí"/>
    <s v="Equipo Técnico Territorial"/>
    <s v="Sí"/>
  </r>
  <r>
    <d v="2026-01-16T00:00:00"/>
    <s v="DAILER MONTOYA DÍAZ"/>
    <n v="1144201353"/>
    <x v="1"/>
    <s v="https://drive.google.com/drive/folders/1SQ2Pz2r0CHN-kmCx24z3RlcpwOvjpl0d?usp=sharing"/>
    <s v="311 232 2517"/>
    <x v="0"/>
    <s v="Caquetá"/>
    <s v="Florencia"/>
    <s v="RCE_260120_22"/>
    <m/>
    <d v="2026-01-27T00:00:00"/>
    <s v="Sí"/>
    <s v="Equipo Técnico Territorial"/>
    <s v="Sí"/>
  </r>
  <r>
    <d v="2026-01-10T00:00:00"/>
    <s v="LUIS CARLOS SALAZAR PRIETO"/>
    <n v="1069584449"/>
    <x v="1"/>
    <s v="https://drive.google.com/drive/folders/1CchvEntYpHCRU0md6u_3eJYIfbsAuuiw?usp=sharing"/>
    <n v="3143008199"/>
    <x v="1"/>
    <s v="Casanare"/>
    <s v="Yopal"/>
    <s v="RCE_260121_24"/>
    <s v="RCE_260114_15"/>
    <d v="2026-01-17T00:00:00"/>
    <s v="Sí"/>
    <s v="Equipo Técnico Territorial"/>
    <s v="No"/>
  </r>
  <r>
    <d v="2026-01-10T00:00:00"/>
    <s v="ANDRÉS RAMIRO COTES ROBAYO"/>
    <n v="80761603"/>
    <x v="2"/>
    <s v="https://drive.google.com/drive/folders/13XNuAW1eKb85Ad7nBGXDwbiuR5cnwrGA?usp=sharing"/>
    <n v="3045268708"/>
    <x v="0"/>
    <s v="Bogotá"/>
    <s v="Bogotá"/>
    <s v="RCE_260121_24"/>
    <s v="RCE_260115_16"/>
    <d v="2026-01-17T00:00:00"/>
    <s v="Sí"/>
    <s v="Equipo Técnico Territorial"/>
    <s v="Sí"/>
  </r>
  <r>
    <d v="2026-01-10T00:00:00"/>
    <s v="DIEGO FERNANDO VALENCIA TAPIA"/>
    <n v="1015393860"/>
    <x v="2"/>
    <s v="https://drive.google.com/drive/folders/1CggotkGNp7t-ouHphvhOCRug_t8xz3iz?usp=sharing"/>
    <n v="3176984631"/>
    <x v="0"/>
    <s v="Bogotá"/>
    <s v="Bogotá"/>
    <s v="RCE_260121_24"/>
    <s v="RCE_260115_16"/>
    <d v="2026-01-17T00:00:00"/>
    <s v="Sí"/>
    <s v="Equipo Técnico Territorial"/>
    <s v="No"/>
  </r>
  <r>
    <d v="2026-01-19T00:00:00"/>
    <s v="IVONNE KATHERINE LUGO GARZÓN "/>
    <n v="1022374269"/>
    <x v="0"/>
    <s v="https://drive.google.com/drive/folders/1SNtEM4GCzL_h3r_mbXVDjsCDIEX7l7A2?usp=sharing"/>
    <n v="3123314563"/>
    <x v="0"/>
    <s v="Bogotá"/>
    <s v="Bogotá"/>
    <s v="RCE_260121_24"/>
    <m/>
    <d v="2026-01-27T00:00:00"/>
    <s v="Sí"/>
    <s v="Equipo Técnico Territorial"/>
    <s v="Sí"/>
  </r>
  <r>
    <d v="2026-01-19T00:00:00"/>
    <s v="CARLOS ÁNGEL VELÁSQUEZ INCA "/>
    <n v="5205527"/>
    <x v="1"/>
    <s v="https://drive.google.com/drive/folders/1734J8L05IXDf81nE90hfvDIKl4m5z7nD?usp=sharing"/>
    <s v="318 528 6727"/>
    <x v="3"/>
    <s v="Nariño"/>
    <s v="Chachagüí"/>
    <s v="RCE_260121_24"/>
    <m/>
    <d v="2026-01-27T00:00:00"/>
    <s v="Sí"/>
    <s v="Equipo Técnico Territorial"/>
    <s v="Sí"/>
  </r>
  <r>
    <d v="2026-01-19T00:00:00"/>
    <s v="CARLOS MAURICIO MOSQUERA CHARRY "/>
    <n v="12134131"/>
    <x v="1"/>
    <s v="https://drive.google.com/drive/folders/1WZw28ECQ7kYfahgkXPPRLa3HfNa_s4GS?usp=sharing"/>
    <s v="315 353 4838"/>
    <x v="0"/>
    <s v="Huila"/>
    <s v="Neiva"/>
    <s v="RCE_260121_24"/>
    <m/>
    <d v="2026-01-27T00:00:00"/>
    <s v="Sí"/>
    <s v="Equipo Técnico Territorial"/>
    <s v="Sí"/>
  </r>
  <r>
    <d v="2026-01-19T00:00:00"/>
    <s v="JOSÉ HUGO MUÑOZ BURBANO "/>
    <n v="12975326"/>
    <x v="1"/>
    <s v="https://drive.google.com/drive/folders/1HenCGGjdcaIrqfHWX_Khud1sLlYPuT8w?usp=sharing"/>
    <s v="310 540 4103"/>
    <x v="3"/>
    <s v="Nariño"/>
    <s v="Pasto"/>
    <s v="RCE_260121_24"/>
    <m/>
    <d v="2026-01-27T00:00:00"/>
    <s v="Sí"/>
    <s v="Equipo Técnico Territorial"/>
    <s v="Sí"/>
  </r>
  <r>
    <d v="2026-01-19T00:00:00"/>
    <s v="DIEGO FERNANDO FERREIRA CADAVID"/>
    <n v="14296011"/>
    <x v="1"/>
    <s v="https://drive.google.com/drive/folders/1Ac_r1mK2nR98Zp9htuRmXGasD5_0w2Xl?usp=sharing"/>
    <s v="310-422-0340"/>
    <x v="0"/>
    <s v="Tolima"/>
    <s v="Ibagué"/>
    <s v="RCE_260121_24"/>
    <m/>
    <d v="2026-01-27T00:00:00"/>
    <s v="Sí"/>
    <s v="Equipo Técnico Territorial"/>
    <s v="Sí"/>
  </r>
  <r>
    <d v="2026-01-19T00:00:00"/>
    <s v="LEYDER JULIÁN MORA ROJAS "/>
    <n v="18128859"/>
    <x v="1"/>
    <s v="https://drive.google.com/drive/folders/1w0aw2_ACfCsQJcXpfXvZe6x5-CfsHzhk?usp=sharing"/>
    <s v="315 728 5678"/>
    <x v="3"/>
    <s v="Putumayo"/>
    <s v="Mocoa"/>
    <s v="RCE_260121_24"/>
    <m/>
    <d v="2026-01-27T00:00:00"/>
    <s v="Sí"/>
    <s v="Equipo Técnico Territorial"/>
    <s v="Sí"/>
  </r>
  <r>
    <d v="2026-01-19T00:00:00"/>
    <s v="JUAN CARLOS APONTE SILVA"/>
    <n v="19455287"/>
    <x v="1"/>
    <s v="https://drive.google.com/drive/folders/19ava860QkT6u4zQpws53rP7Kq7hBwSfK?usp=sharing"/>
    <s v="321-2326570"/>
    <x v="4"/>
    <s v="Cundinamarca"/>
    <s v="Chia"/>
    <s v="RCE_260121_24"/>
    <m/>
    <d v="2026-01-27T00:00:00"/>
    <s v="Sí"/>
    <s v="Equipo Técnico Territorial"/>
    <s v="Sí"/>
  </r>
  <r>
    <d v="2026-01-19T00:00:00"/>
    <s v="NIDIA SÁNCHEZ TRIGOS "/>
    <n v="49670265"/>
    <x v="1"/>
    <s v="https://drive.google.com/drive/folders/1TC5xo3s09i2DRJ_6RRkCEMzIyexTyjMG?usp=sharing"/>
    <s v="315-5620935"/>
    <x v="2"/>
    <s v="Cesar"/>
    <s v="Aguachica"/>
    <s v="RCE_260121_24"/>
    <m/>
    <d v="2026-01-27T00:00:00"/>
    <s v="Sí"/>
    <s v="Equipo Técnico Territorial"/>
    <s v="Sí"/>
  </r>
  <r>
    <d v="2026-01-19T00:00:00"/>
    <s v="OSCAR DÍAZ ACOSTA "/>
    <n v="97473015"/>
    <x v="1"/>
    <s v="https://drive.google.com/drive/folders/1_ioRfZpMSF-flH0xj5m5ENPAxoJDsZkV?usp=sharing"/>
    <s v="316 635 5904"/>
    <x v="3"/>
    <s v="Nariño"/>
    <s v="Pasto"/>
    <s v="RCE_260121_24"/>
    <m/>
    <d v="2026-01-27T00:00:00"/>
    <s v="Sí"/>
    <s v="Equipo Técnico Territorial"/>
    <s v="Sí"/>
  </r>
  <r>
    <d v="2026-01-19T00:00:00"/>
    <s v="EDER MAURICIO RÁQUIRA GARCÍA "/>
    <n v="1032394684"/>
    <x v="1"/>
    <s v="https://drive.google.com/drive/folders/1_lwOJEslx2n00-29vOQ_nRZxSLe8qRAc?usp=sharing"/>
    <n v="3118243186"/>
    <x v="0"/>
    <s v="Bogotá"/>
    <s v="Bogotá"/>
    <s v="RCE_260121_24"/>
    <m/>
    <d v="2026-01-27T00:00:00"/>
    <s v="Sí"/>
    <s v="Equipo Técnico Territorial"/>
    <s v="Sí"/>
  </r>
  <r>
    <d v="2026-01-19T00:00:00"/>
    <s v="JAIDER LUIS BARRERA PEREIRA "/>
    <n v="1063149403"/>
    <x v="1"/>
    <s v="https://drive.google.com/drive/folders/1tl47P0vg_E-O0k9zAQHYZqvsahfp2K0x?usp=sharing"/>
    <n v="3102603465"/>
    <x v="2"/>
    <s v="Córdoba"/>
    <s v="Lorica"/>
    <s v="RCE_260121_24"/>
    <m/>
    <d v="2026-01-27T00:00:00"/>
    <s v="Sí"/>
    <s v="Equipo Técnico Territorial"/>
    <s v="Sí"/>
  </r>
  <r>
    <d v="2026-01-19T00:00:00"/>
    <s v="ASTRYD CAROLINA ORDOÑEZ ERAZO "/>
    <n v="34318220"/>
    <x v="5"/>
    <s v="https://drive.google.com/drive/folders/1hZnYldyjISOKbI5EFlVlzR_y7Cf5dZPd?usp=sharing"/>
    <n v="3193892698"/>
    <x v="3"/>
    <s v="Cauca"/>
    <s v="Popayán"/>
    <s v="RCE_260121_24"/>
    <m/>
    <d v="2026-01-27T00:00:00"/>
    <s v="Sí"/>
    <s v="Equipo Nacional"/>
    <s v="Sí"/>
  </r>
  <r>
    <d v="2026-01-19T00:00:00"/>
    <s v="GILMA ZOBEIDA DUMAR DIAZ"/>
    <n v="50904552"/>
    <x v="2"/>
    <s v="https://drive.google.com/drive/folders/17Y7nrc_IBiktiUi2xOZA6H4nWyR4FdkF?usp=sharing"/>
    <n v="3023393772"/>
    <x v="2"/>
    <s v="Córdoba"/>
    <s v="Montelibano"/>
    <s v="RCE_260121_24"/>
    <m/>
    <d v="2026-01-27T00:00:00"/>
    <s v="Sí"/>
    <s v="Equipo Técnico Territorial"/>
    <s v="No"/>
  </r>
  <r>
    <d v="2026-01-19T00:00:00"/>
    <s v="NATALY RIVERA ROA"/>
    <n v="52817046"/>
    <x v="2"/>
    <s v="https://drive.google.com/drive/folders/1j2kFMoqOaj2ecFug-p00OysJU6E6vNQh?usp=sharing"/>
    <n v="3177858932"/>
    <x v="4"/>
    <s v="Cundinamarca"/>
    <s v="Soacha"/>
    <s v="RCE_260121_24"/>
    <m/>
    <d v="2026-01-27T00:00:00"/>
    <s v="Sí"/>
    <s v="Equipo Técnico Territorial"/>
    <s v="No"/>
  </r>
  <r>
    <d v="2026-01-19T00:00:00"/>
    <s v="DIANA MARCELA CÉSPEDES MOTTA"/>
    <n v="65784493"/>
    <x v="2"/>
    <s v="https://drive.google.com/drive/folders/1rxvORWQizwGdFTMtLMU06LOPUDVI6y1I?usp=sharing"/>
    <n v="3168889951"/>
    <x v="4"/>
    <s v="Tolima"/>
    <s v="Ibagué"/>
    <s v="RCE_260121_24"/>
    <m/>
    <d v="2026-01-27T00:00:00"/>
    <s v="Sí"/>
    <s v="Equipo Técnico Territorial"/>
    <s v="Sí"/>
  </r>
  <r>
    <d v="2026-01-19T00:00:00"/>
    <s v="CATHERINE SOLER ROMERO"/>
    <n v="1015414016"/>
    <x v="2"/>
    <s v="https://drive.google.com/drive/folders/1-a_5Kb9ed3TxsmfgYW3HGsxSBkAUDzJr?usp=sharing"/>
    <n v="3157261783"/>
    <x v="0"/>
    <s v="Bogotá"/>
    <s v="Bogotá"/>
    <s v="RCE_260121_24"/>
    <m/>
    <d v="2026-01-27T00:00:00"/>
    <s v="Sí"/>
    <s v="Equipo Técnico Territorial"/>
    <s v="No"/>
  </r>
  <r>
    <d v="2026-01-19T00:00:00"/>
    <s v="JENNIFER CAROLINA VARGAS BOLAÑOS "/>
    <n v="1061790676"/>
    <x v="2"/>
    <s v="https://drive.google.com/drive/folders/1Ar6pY8SwUfamipg1xBZqQG4dQ7sxcDJj?usp=sharing"/>
    <n v="3136508565"/>
    <x v="3"/>
    <s v="Cauca"/>
    <s v="Popayán"/>
    <s v="RCE_260121_24"/>
    <m/>
    <d v="2026-01-27T00:00:00"/>
    <s v="Sí"/>
    <s v="Equipo Técnico Territorial"/>
    <s v="Sí"/>
  </r>
  <r>
    <d v="2026-01-19T00:00:00"/>
    <s v="JEFFERSON EDUARDO GALLARDO PARADA"/>
    <n v="1093756198"/>
    <x v="2"/>
    <s v="https://drive.google.com/drive/folders/1VTDyKIQXJUC39dIDwMr0PaFVPnwQZWsK?usp=sharing"/>
    <n v="3219180883"/>
    <x v="1"/>
    <s v="Norte de Santander"/>
    <s v="Cúcuta"/>
    <s v="RCE_260121_24"/>
    <m/>
    <d v="2026-01-27T00:00:00"/>
    <s v="Sí"/>
    <s v="Equipo Técnico Territorial"/>
    <s v="Sí"/>
  </r>
  <r>
    <d v="2026-01-19T00:00:00"/>
    <s v="JORS PALACIO RÍOS "/>
    <n v="1143425547"/>
    <x v="2"/>
    <s v="https://drive.google.com/drive/folders/1WvX3tMByIFm3tKITnynUYjEMo8JEVV-u?usp=sharing"/>
    <n v="3104179886"/>
    <x v="2"/>
    <s v="Atlántico"/>
    <s v="Barranquilla"/>
    <s v="RCE_260121_24"/>
    <m/>
    <d v="2026-01-27T00:00:00"/>
    <s v="Sí"/>
    <s v="Equipo Técnico Territorial"/>
    <s v="Sí"/>
  </r>
  <r>
    <d v="2026-01-19T00:00:00"/>
    <s v="LUIS CARLOS BONILLA CASSO "/>
    <n v="76310960"/>
    <x v="1"/>
    <s v="https://drive.google.com/drive/folders/14Sj65Scz5ooeaB0YE5CczWBAGXnsMhBj?usp=sharing"/>
    <s v="350 803 27 64"/>
    <x v="3"/>
    <s v="Cauca"/>
    <s v="Santander de Quilichao"/>
    <s v="RCE_260121_24_x000a_RCE_260126_31"/>
    <m/>
    <d v="2026-02-06T00:00:00"/>
    <s v="Sí"/>
    <s v="Equipo Técnico Territorial"/>
    <s v="Sí"/>
  </r>
  <r>
    <d v="2026-01-19T00:00:00"/>
    <s v="JUAN JOSE LONDOÑO LONDOÑO"/>
    <n v="6386946"/>
    <x v="1"/>
    <s v="https://drive.google.com/drive/folders/1_LnDa0c2aUzFHAA0wbMUxqUmZ5J_p4ZV?usp=sharing"/>
    <s v="317 402 1724"/>
    <x v="3"/>
    <s v="Valle del cauca"/>
    <s v="Palmira"/>
    <s v="RCE_260122_27"/>
    <m/>
    <d v="2026-01-27T00:00:00"/>
    <s v="Sí"/>
    <s v="Equipo Técnico Territorial"/>
    <s v="Sí"/>
  </r>
  <r>
    <d v="2026-01-19T00:00:00"/>
    <s v="MAURO FABIAN SALAZAR BUITRAGO"/>
    <n v="7253321"/>
    <x v="1"/>
    <s v="https://drive.google.com/drive/folders/1WQ_E4AOWWWipWPGKAEAm0B_MkmQNAsr6?usp=sharing"/>
    <s v="320 342 0963"/>
    <x v="1"/>
    <s v="Boyacá"/>
    <s v="Puerto boyacá"/>
    <s v="RCE_260122_27"/>
    <m/>
    <d v="2026-01-27T00:00:00"/>
    <s v="Sí"/>
    <s v="Equipo Técnico Territorial"/>
    <s v="Sí"/>
  </r>
  <r>
    <d v="2026-01-19T00:00:00"/>
    <s v="BLADIMIR NARVAEZ CABRERA"/>
    <n v="12228912"/>
    <x v="1"/>
    <s v="https://drive.google.com/drive/folders/1snvG9Kl_6oTfQDBm0bqGPToJ2Y6__ueJ?usp=sharing"/>
    <s v="3214250684 - 3214874834"/>
    <x v="0"/>
    <s v="Huila"/>
    <s v="Pitalito"/>
    <s v="RCE_260122_27"/>
    <m/>
    <d v="2026-01-27T00:00:00"/>
    <s v="Sí"/>
    <s v="Equipo Técnico Territorial"/>
    <s v="Sí"/>
  </r>
  <r>
    <d v="2026-01-19T00:00:00"/>
    <s v="YILMER MANUEL LONDOÑO HERNANDEZ"/>
    <n v="1015433674"/>
    <x v="1"/>
    <s v="https://drive.google.com/drive/folders/1SDmt5WUsmZJMzhp9ipQm2t6hwRRO2Avf?usp=sharing"/>
    <s v="316 211 45 18"/>
    <x v="1"/>
    <s v="Casanare"/>
    <s v="Yopal"/>
    <s v="RCE_260122_27"/>
    <m/>
    <d v="2026-01-27T00:00:00"/>
    <s v="Sí"/>
    <s v="Equipo Técnico Territorial"/>
    <s v="Sí"/>
  </r>
  <r>
    <d v="2026-01-19T00:00:00"/>
    <s v="YINSON JAVIER DÍAZ GÓMEZ"/>
    <n v="1032378652"/>
    <x v="1"/>
    <s v="https://drive.google.com/drive/folders/1zdElZUYxWN0mL7gW0T7f8FGKOycgu-qC?usp=sharing"/>
    <s v="322 305 4018"/>
    <x v="4"/>
    <s v="Tolima"/>
    <s v="Ibagué"/>
    <s v="RCE_260122_27"/>
    <m/>
    <d v="2026-01-27T00:00:00"/>
    <s v="Sí"/>
    <s v="Equipo Técnico Territorial"/>
    <s v="No"/>
  </r>
  <r>
    <d v="2026-01-19T00:00:00"/>
    <s v="MELISSA INES BLANCO TORRES"/>
    <n v="1143374703"/>
    <x v="1"/>
    <s v="https://drive.google.com/drive/folders/1Zwss3-TpL8H2N66StWIt3-5MEq_8Y456?usp=sharing"/>
    <s v="305- 459-2092"/>
    <x v="2"/>
    <s v="Bolívar"/>
    <s v="Cartagena"/>
    <s v="RCE_260122_27"/>
    <m/>
    <d v="2026-01-27T00:00:00"/>
    <s v="Sí"/>
    <s v="Equipo Técnico Territorial"/>
    <s v="Sí"/>
  </r>
  <r>
    <d v="2026-01-19T00:00:00"/>
    <s v="CAROLINA ANDREA REY RIVERA"/>
    <n v="52829301"/>
    <x v="2"/>
    <s v="https://drive.google.com/drive/folders/16Vpvdjr-fou8zRob4e5sdsTZp6IJ-TS9?usp=sharing"/>
    <n v="3212603917"/>
    <x v="0"/>
    <s v="Bogotá"/>
    <s v="Bogotá"/>
    <s v="RCE_260122_27"/>
    <m/>
    <d v="2026-01-27T00:00:00"/>
    <s v="Sí"/>
    <s v="Equipo Técnico Territorial"/>
    <s v="Sí"/>
  </r>
  <r>
    <d v="2026-01-19T00:00:00"/>
    <s v="MIGUEL ÁNGEL MACÍAS ÁLVAREZ"/>
    <n v="1032379934"/>
    <x v="2"/>
    <s v="https://drive.google.com/drive/folders/1z9SYjgA7p5msYUM2uI-H8MB2Kcgjat-I?usp=sharing"/>
    <n v="3156125497"/>
    <x v="0"/>
    <s v="Bogotá"/>
    <s v="Bogotá"/>
    <s v="RCE_260122_27"/>
    <m/>
    <d v="2026-01-27T00:00:00"/>
    <s v="Sí"/>
    <s v="Equipo Técnico Territorial"/>
    <s v="No"/>
  </r>
  <r>
    <d v="2026-01-10T00:00:00"/>
    <s v="HELBERTH YAIR BABATIVA RODRIGUEZ"/>
    <n v="3119289"/>
    <x v="1"/>
    <s v="https://drive.google.com/drive/folders/1VNX2dICSN_hTQUckuZtEBm0VlZUdzs5C?usp=sharing"/>
    <s v="3112168399- 3108578185"/>
    <x v="4"/>
    <s v="Cundinamarca"/>
    <s v="Villagomez"/>
    <s v="RCE_260122_28"/>
    <m/>
    <d v="2026-01-13T00:00:00"/>
    <s v="Sí"/>
    <s v="Equipo Técnico Territorial"/>
    <s v="Sí"/>
  </r>
  <r>
    <d v="2026-01-10T00:00:00"/>
    <s v="RAMIRO PULIDO GUZMAN"/>
    <n v="14322190"/>
    <x v="1"/>
    <s v="https://drive.google.com/drive/folders/16TkYptGiiEdeg0xQGpW5YVum9MIioJPU?usp=sharing"/>
    <s v="320 489 8169"/>
    <x v="4"/>
    <s v="Cundinamarca"/>
    <s v="Guaduas"/>
    <s v="RCE_260122_28"/>
    <m/>
    <d v="2026-01-17T00:00:00"/>
    <s v="Sí"/>
    <s v="Equipo Técnico Territorial"/>
    <s v="Sí"/>
  </r>
  <r>
    <d v="2026-01-10T00:00:00"/>
    <s v="ELIANA LIZETH MEDINA RIOS"/>
    <n v="1110465299"/>
    <x v="1"/>
    <s v="https://drive.google.com/drive/folders/1YLFmEFO7TaNgwMIkpDPIQawhkSHH8dRb?usp=sharing"/>
    <n v="3103071466"/>
    <x v="4"/>
    <s v="Tolima"/>
    <s v="Ibagué"/>
    <s v="RCE_260122_28"/>
    <m/>
    <d v="2026-01-17T00:00:00"/>
    <s v="Sí"/>
    <s v="Equipo Técnico Territorial"/>
    <s v="Sí"/>
  </r>
  <r>
    <d v="2026-01-10T00:00:00"/>
    <s v="ANDRÉS LEONARDO VALCERO AGUDELO"/>
    <n v="1121883180"/>
    <x v="1"/>
    <s v="https://drive.google.com/drive/folders/1K47S0sFXGR6TGVGNizS3lkGYNf3vo67j?usp=sharing"/>
    <s v="315 827 9280"/>
    <x v="0"/>
    <s v="Meta"/>
    <s v="Villavicencio"/>
    <s v="RCE_260122_28"/>
    <m/>
    <d v="2026-01-27T00:00:00"/>
    <s v="Sí"/>
    <s v="Equipo Técnico Territorial"/>
    <s v="Sí"/>
  </r>
  <r>
    <d v="2026-01-10T00:00:00"/>
    <s v="DANIEL MAURICIO GUASGÜITA MORENO"/>
    <n v="1019089483"/>
    <x v="2"/>
    <s v="https://drive.google.com/drive/folders/12JczFLxCH0uL_Z5yczdbpmbeP_Tb6wvj?usp=sharing"/>
    <n v="3114935693"/>
    <x v="0"/>
    <s v="Bogotá"/>
    <s v="Bogotá"/>
    <s v="RCE_260122_28"/>
    <m/>
    <d v="2026-01-17T00:00:00"/>
    <s v="Sí"/>
    <s v="Equipo Técnico Territorial"/>
    <s v="No"/>
  </r>
  <r>
    <d v="2026-01-16T00:00:00"/>
    <s v="WINSTON SAÚL MADERO CELIS"/>
    <n v="91432760"/>
    <x v="1"/>
    <s v="https://drive.google.com/drive/folders/13jCsqqFjRPC6-4aV2cxh5m9CH1EX-hFB?usp=sharing"/>
    <n v="3502081669"/>
    <x v="1"/>
    <s v="Santander"/>
    <s v="Floridablanca"/>
    <s v="RCE_260122_29"/>
    <m/>
    <d v="2026-01-27T00:00:00"/>
    <s v="Sí"/>
    <s v="Equipo Técnico Territorial"/>
    <s v="Sí"/>
  </r>
  <r>
    <d v="2026-01-16T00:00:00"/>
    <s v="NELCY YANETH MORA MENDIETA"/>
    <n v="52155915"/>
    <x v="2"/>
    <s v="https://drive.google.com/drive/folders/1ZiIfCQr09G2bMMIuGRTejs3DN4tmrQRR?usp=sharing"/>
    <s v="305799 5602"/>
    <x v="0"/>
    <s v="Bogotá"/>
    <s v="Bogotá"/>
    <s v="RCE_260122_29"/>
    <m/>
    <d v="2026-01-27T00:00:00"/>
    <s v="Sí"/>
    <s v="Equipo Técnico Territorial"/>
    <s v="Sí"/>
  </r>
  <r>
    <d v="2026-01-19T00:00:00"/>
    <s v="FABIÁN ALBERTO ZÚÑIGA ORTIZ"/>
    <n v="1114210089"/>
    <x v="1"/>
    <s v="https://drive.google.com/drive/folders/1t2RI2zesB8eIXG53G8Psg8OUOFbP8Af6?usp=sharing"/>
    <s v="317 642 2944"/>
    <x v="3"/>
    <s v="Valle del cauca"/>
    <s v="La unión"/>
    <s v="RCE_260126_31"/>
    <s v="RCE_260121_23"/>
    <d v="2026-01-27T00:00:00"/>
    <s v="Sí"/>
    <s v="Equipo Técnico Territorial"/>
    <s v="Sí"/>
  </r>
  <r>
    <d v="2026-01-23T00:00:00"/>
    <s v="EDGAR ARTURO PRIETO ACEVEDO"/>
    <n v="6776982"/>
    <x v="1"/>
    <s v="https://drive.google.com/drive/folders/12cAy1pgg7lOCIlgQi4av7cqL5zjGFY78?usp=sharing"/>
    <n v="3165282333"/>
    <x v="1"/>
    <s v="Boyacá"/>
    <s v="Chivata"/>
    <s v="RCE_260126_31"/>
    <m/>
    <d v="2026-01-27T00:00:00"/>
    <s v="Sí"/>
    <s v="Equipo Técnico Territorial"/>
    <s v="Sí"/>
  </r>
  <r>
    <d v="2026-01-23T00:00:00"/>
    <s v="HARVY GENTIL DIAZ SIERRA"/>
    <n v="7733300"/>
    <x v="1"/>
    <s v="https://drive.google.com/drive/folders/1pqGrIPvi8rF2VWt1bNhCiAsskOvhqHxQ?usp=sharing"/>
    <n v="3127303159"/>
    <x v="3"/>
    <s v="Cauca"/>
    <s v="Timbío"/>
    <s v="RCE_260126_31"/>
    <m/>
    <d v="2026-01-27T00:00:00"/>
    <s v="Sí"/>
    <s v="Equipo Técnico Territorial"/>
    <s v="Sí"/>
  </r>
  <r>
    <d v="2026-01-23T00:00:00"/>
    <s v="ADRIANA SERRATO MORALES"/>
    <n v="26529489"/>
    <x v="1"/>
    <s v="https://drive.google.com/drive/folders/1gcgiqdlMTNmATzewIcifQmYuL7SX5Acc?usp=sharing"/>
    <n v="3214438747"/>
    <x v="0"/>
    <s v="Huila"/>
    <s v="Neiva"/>
    <s v="RCE_260126_31"/>
    <m/>
    <d v="2026-01-27T00:00:00"/>
    <s v="Sí"/>
    <s v="Equipo Técnico Territorial"/>
    <s v="Sí"/>
  </r>
  <r>
    <d v="2026-01-23T00:00:00"/>
    <s v="NURY CARMENZA CHAPARRO CUBIDES"/>
    <n v="46386713"/>
    <x v="1"/>
    <s v="https://drive.google.com/drive/folders/1O3CZc9dFcOE8dUOvjZbhsCSprd0dE3uh?usp=sharing"/>
    <n v="3145407272"/>
    <x v="1"/>
    <s v="Casanare"/>
    <s v="Yopal"/>
    <s v="RCE_260126_31"/>
    <m/>
    <d v="2026-01-27T00:00:00"/>
    <s v="Sí"/>
    <s v="Equipo Técnico Territorial"/>
    <s v="Sí"/>
  </r>
  <r>
    <d v="2026-01-23T00:00:00"/>
    <s v="CLAUDIA LILIANA SOTO HERNANDEZ"/>
    <n v="60394213"/>
    <x v="1"/>
    <s v="https://drive.google.com/drive/folders/1G62S3H6uVrt76IAdApcVYY-z729TEf5S?usp=sharing"/>
    <n v="3225138723"/>
    <x v="1"/>
    <s v="Arauca"/>
    <s v="Saravena"/>
    <s v="RCE_260126_31"/>
    <m/>
    <d v="2026-01-27T00:00:00"/>
    <s v="Sí"/>
    <s v="Equipo Técnico Territorial"/>
    <s v="Sí"/>
  </r>
  <r>
    <d v="2026-01-23T00:00:00"/>
    <s v="MARÍA EUGENIA BERNAL GUTIERREZ"/>
    <n v="65754443"/>
    <x v="1"/>
    <s v="https://drive.google.com/drive/folders/1JJ9LdS9exZeL5y8hvC8dYkQwx9FnswQJ?usp=sharing"/>
    <n v="3203208130"/>
    <x v="0"/>
    <s v="Huila"/>
    <s v="La plata"/>
    <s v="RCE_260126_31"/>
    <m/>
    <d v="2026-01-27T00:00:00"/>
    <s v="Sí"/>
    <s v="Equipo Técnico Territorial"/>
    <s v="No"/>
  </r>
  <r>
    <d v="2026-01-23T00:00:00"/>
    <s v="GIOVANNI JAVIER LAITON GUTIERREZ"/>
    <n v="80038855"/>
    <x v="1"/>
    <s v="https://drive.google.com/drive/folders/1zGKXqbXUBshOlEgY6OFYO3WuVtCNujHr?usp=sharing"/>
    <n v="3175829147"/>
    <x v="4"/>
    <s v="Bogotá"/>
    <s v="Bogotá"/>
    <s v="RCE_260126_31"/>
    <m/>
    <d v="2026-01-27T00:00:00"/>
    <s v="Sí"/>
    <s v="Equipo Técnico Territorial"/>
    <s v="Sí"/>
  </r>
  <r>
    <d v="2026-01-23T00:00:00"/>
    <s v="RICARDO ELICEO PEREZ ANGARITA"/>
    <n v="80803817"/>
    <x v="1"/>
    <s v="https://drive.google.com/drive/folders/1n-9Fseq8f6NSaY8FiGTVzNfgFi0TpED_?usp=sharing"/>
    <n v="3112393683"/>
    <x v="1"/>
    <s v="Cundinamarca"/>
    <s v="Chia"/>
    <s v="RCE_260126_31"/>
    <m/>
    <d v="2026-01-27T00:00:00"/>
    <s v="Sí"/>
    <s v="Equipo Técnico Territorial"/>
    <s v="Sí"/>
  </r>
  <r>
    <d v="2026-01-23T00:00:00"/>
    <s v="RICHAR ELKIN ACOSTA PABON"/>
    <n v="87452838"/>
    <x v="1"/>
    <s v="https://drive.google.com/drive/folders/1mX5gqlD1Quz8HvPMkuKpmLwwqaxVJEHV?usp=sharing"/>
    <n v="3138196285"/>
    <x v="3"/>
    <s v="Nariño"/>
    <s v="San juan de pasto"/>
    <s v="RCE_260126_31"/>
    <m/>
    <d v="2026-01-27T00:00:00"/>
    <s v="Sí"/>
    <s v="Equipo Técnico Territorial"/>
    <s v="Sí"/>
  </r>
  <r>
    <d v="2026-01-23T00:00:00"/>
    <s v="EDILBERTO ADEL LLORENTE CASTRO"/>
    <n v="1067402089"/>
    <x v="1"/>
    <s v="https://drive.google.com/drive/folders/1-d6NI8UFJICj7hTeX2vEnb5k-nDcEHoc?usp=sharing"/>
    <n v="3053124429"/>
    <x v="2"/>
    <s v="Córdoba"/>
    <s v="Purísima"/>
    <s v="RCE_260126_31"/>
    <m/>
    <d v="2026-01-27T00:00:00"/>
    <s v="Sí"/>
    <s v="Equipo Técnico Territorial"/>
    <s v="Sí"/>
  </r>
  <r>
    <d v="2026-01-23T00:00:00"/>
    <s v="HAROLD YESID SALAZAR PORTILLA"/>
    <n v="1101691037"/>
    <x v="1"/>
    <s v="https://drive.google.com/drive/folders/1VXaa77iCBIWSpRYdDJFwyqBqq6OcTac3?usp=sharing"/>
    <n v="3209217787"/>
    <x v="1"/>
    <s v="Santander"/>
    <s v="Floridablanca"/>
    <s v="RCE_260126_31"/>
    <m/>
    <d v="2026-01-27T00:00:00"/>
    <s v="Sí"/>
    <s v="Equipo Técnico Territorial"/>
    <s v="No"/>
  </r>
  <r>
    <d v="2026-01-23T00:00:00"/>
    <s v="ERIKA PAOLA ARCINIEGAS ROJAS"/>
    <n v="1121869938"/>
    <x v="1"/>
    <s v="https://drive.google.com/drive/folders/17MF7o64j4N4ePPhQWhenGYG7fJX7Yf7b?usp=sharing"/>
    <n v="3004738959"/>
    <x v="1"/>
    <s v="Boyacá"/>
    <s v="Páez"/>
    <s v="RCE_260126_31"/>
    <m/>
    <d v="2026-01-27T00:00:00"/>
    <s v="Sí"/>
    <s v="Equipo Técnico Territorial"/>
    <s v="No"/>
  </r>
  <r>
    <d v="2026-01-23T00:00:00"/>
    <s v="CRISTIAN STEVEN PIÑEROS BONILLA"/>
    <n v="1144066363"/>
    <x v="1"/>
    <s v="https://drive.google.com/drive/folders/1QwFxpk-4zpfQZvPQququmkn2Qd9qcmwZ?usp=sharing"/>
    <n v="3196902003"/>
    <x v="3"/>
    <s v="Valle del cauca"/>
    <s v="Cali"/>
    <s v="RCE_260126_31"/>
    <m/>
    <d v="2026-01-27T00:00:00"/>
    <s v="Sí"/>
    <s v="Equipo Técnico Territorial"/>
    <s v="Sí"/>
  </r>
  <r>
    <d v="2026-01-23T00:00:00"/>
    <s v="ANDRES CAMILO SAEZ ESPITIA"/>
    <n v="1012440591"/>
    <x v="8"/>
    <s v="https://drive.google.com/drive/folders/1qZWSK58wJbfpaJEpXd9WyNw_OFH79m5F?usp=sharing"/>
    <n v="3114889443"/>
    <x v="0"/>
    <s v="Bogotá"/>
    <s v="Bogotá"/>
    <s v="RCE_260126_31"/>
    <m/>
    <d v="2026-01-27T00:00:00"/>
    <s v="Sí"/>
    <s v="Equipo Nacional"/>
    <s v="No"/>
  </r>
  <r>
    <d v="2026-01-23T00:00:00"/>
    <s v="ANDRÉS MAURICIO CAMACHO MONTEALEGRE"/>
    <n v="9729732"/>
    <x v="2"/>
    <s v="https://drive.google.com/drive/folders/1_kmvYs61oj8yc7yskMMk2DASUB9rgMM3?usp=sharing"/>
    <n v="3154125376"/>
    <x v="4"/>
    <s v="Tolima"/>
    <s v="Ibagué"/>
    <s v="RCE_260126_31"/>
    <m/>
    <d v="2026-01-27T00:00:00"/>
    <s v="Sí"/>
    <s v="Equipo Técnico Territorial"/>
    <s v="No"/>
  </r>
  <r>
    <d v="2026-01-23T00:00:00"/>
    <s v="MILDRED ILIANA ORDOÑEZ QUINTERO"/>
    <n v="25282094"/>
    <x v="2"/>
    <s v="https://drive.google.com/drive/folders/1PFnkoQnFeGuyQ_yH4REXctDwmlx1KcRt?usp=sharing"/>
    <n v="3128243365"/>
    <x v="3"/>
    <s v="Cauca"/>
    <s v="Popayán"/>
    <s v="RCE_260126_31"/>
    <m/>
    <d v="2026-01-27T00:00:00"/>
    <s v="Sí"/>
    <s v="Equipo Técnico Territorial"/>
    <s v="Sí"/>
  </r>
  <r>
    <d v="2026-01-23T00:00:00"/>
    <s v="LIZAIDA MARGANTA BUELVAS NARANJO"/>
    <n v="25913417"/>
    <x v="2"/>
    <s v="https://drive.google.com/drive/folders/1pAWEtcSd1JNHK93lsC2sf6KBSA2v3b_l?usp=sharing"/>
    <n v="3008538716"/>
    <x v="2"/>
    <s v="Córdoba"/>
    <s v="Chinú"/>
    <s v="RCE_260126_31"/>
    <m/>
    <d v="2026-01-27T00:00:00"/>
    <s v="Sí"/>
    <s v="Equipo Técnico Territorial"/>
    <s v="Sí"/>
  </r>
  <r>
    <d v="2026-01-23T00:00:00"/>
    <s v="LUZ YADIRA MORENO PEREA"/>
    <n v="35892411"/>
    <x v="2"/>
    <s v="https://drive.google.com/drive/folders/1yBPqBv5YIhR6HtfXZnPBYcFKFn6moCqN?usp=sharing"/>
    <n v="3148080376"/>
    <x v="3"/>
    <s v="Chocó"/>
    <s v="Quibdó"/>
    <s v="RCE_260126_31"/>
    <m/>
    <d v="2026-01-27T00:00:00"/>
    <s v="Sí"/>
    <s v="Equipo Técnico Territorial"/>
    <s v="No"/>
  </r>
  <r>
    <d v="2026-01-23T00:00:00"/>
    <s v="VIVIANA ANDREA VEGA PINEDA"/>
    <n v="46455782"/>
    <x v="2"/>
    <s v="https://drive.google.com/drive/folders/1U749rjEAOHXaiMRg4YOwrwrpWBcMTE7j?usp=sharing"/>
    <n v="3142887064"/>
    <x v="1"/>
    <s v="Boyacá"/>
    <s v="Duitama"/>
    <s v="RCE_260126_31"/>
    <m/>
    <d v="2026-01-27T00:00:00"/>
    <s v="Sí"/>
    <s v="Equipo Técnico Territorial"/>
    <s v="Sí"/>
  </r>
  <r>
    <d v="2026-01-23T00:00:00"/>
    <s v="Juan Pablo Leal Riveros"/>
    <n v="7095172"/>
    <x v="1"/>
    <s v="https://drive.google.com/drive/folders/1sm88e_nw6wXliZuHbc16pqoSE_-d6GHS?usp=sharing"/>
    <n v="3104401589"/>
    <x v="4"/>
    <s v="Bogotá"/>
    <s v="Bogotá"/>
    <s v="RCE_260127_33"/>
    <m/>
    <d v="2026-02-09T00:00:00"/>
    <s v="Sí"/>
    <s v="Equipo Técnico Territorial"/>
    <s v="Sí"/>
  </r>
  <r>
    <d v="2026-01-23T00:00:00"/>
    <s v="Nicolas Ballesteros Sánchez "/>
    <n v="80037495"/>
    <x v="2"/>
    <s v="https://drive.google.com/drive/folders/1NasoDCngdu6ayr1WJ75Gdt8JcIRKkHRE?usp=sharing"/>
    <n v="3112500290"/>
    <x v="0"/>
    <s v="Bogotá"/>
    <s v="Bogotá"/>
    <s v="RCE_260127_33"/>
    <m/>
    <d v="2026-02-09T00:00:00"/>
    <s v="Sí"/>
    <s v="Equipo Técnico Territorial"/>
    <s v="Sí"/>
  </r>
  <r>
    <d v="2026-01-23T00:00:00"/>
    <s v="María Cecilia Castro Luque "/>
    <n v="107768932"/>
    <x v="2"/>
    <s v="https://drive.google.com/drive/folders/192BrhI9Kn6h2d4gKfHDFze7RZyrVBdQ-?usp=sharing"/>
    <n v="3226161925"/>
    <x v="0"/>
    <s v="Bogotá"/>
    <s v="Bogotá"/>
    <s v="RCE_260127_33"/>
    <m/>
    <d v="2026-02-09T00:00:00"/>
    <s v="Sí"/>
    <s v="Equipo Técnico Territorial"/>
    <s v="No"/>
  </r>
  <r>
    <d v="2026-01-23T00:00:00"/>
    <s v="Cristian Camilo Velásquez Cardona"/>
    <n v="1002744143"/>
    <x v="2"/>
    <s v="https://drive.google.com/drive/folders/1SpRTHy90nXsHci7pjVRaD118TRN3e0wp?usp=sharing"/>
    <n v="3128630582"/>
    <x v="3"/>
    <s v="Bogotá"/>
    <s v="Bogotá"/>
    <s v="RCE_260127_33"/>
    <m/>
    <d v="2026-02-09T00:00:00"/>
    <s v="Sí"/>
    <s v="Equipo Técnico Territorial"/>
    <s v="No"/>
  </r>
  <r>
    <d v="2026-01-23T00:00:00"/>
    <s v="Karen Dayana Rubiano Gambasica"/>
    <n v="1013683058"/>
    <x v="2"/>
    <s v="https://drive.google.com/drive/folders/1_yJrICob6mmpOjFN0JtfunL0KvfO5j0j?usp=sharing"/>
    <n v="3219263614"/>
    <x v="0"/>
    <s v="Bogotá"/>
    <s v="Bogotá"/>
    <s v="RCE_260127_33"/>
    <m/>
    <d v="2026-02-09T00:00:00"/>
    <s v="Sí"/>
    <s v="Equipo Técnico Territorial"/>
    <s v="No"/>
  </r>
  <r>
    <d v="2026-01-23T00:00:00"/>
    <s v="Kimberly Gisselle Orjuela Vergara "/>
    <n v="1018428613"/>
    <x v="2"/>
    <s v="https://drive.google.com/drive/folders/1wXx9H5yCDJc5xJqlpFXhzq18Oepouo_I?usp=sharing"/>
    <n v="3108198105"/>
    <x v="4"/>
    <s v="Bogotá"/>
    <s v="Bogotá"/>
    <s v="RCE_260127_33"/>
    <m/>
    <d v="2026-02-09T00:00:00"/>
    <s v="Sí"/>
    <s v="Equipo Técnico Territorial"/>
    <s v="No"/>
  </r>
  <r>
    <d v="2026-01-23T00:00:00"/>
    <s v="Cristian Felipe Diaz Vargas "/>
    <n v="1022373506"/>
    <x v="2"/>
    <s v="https://drive.google.com/drive/folders/1wp4fS7ybzKnKwgUSw2_InhXGxukF4Bhj?usp=sharing"/>
    <n v="3105761982"/>
    <x v="0"/>
    <s v="Bogotá"/>
    <s v="Bogotá"/>
    <s v="RCE_260127_33"/>
    <m/>
    <d v="2026-02-09T00:00:00"/>
    <s v="Sí"/>
    <s v="Equipo Técnico Territorial"/>
    <s v="No"/>
  </r>
  <r>
    <d v="2026-01-23T00:00:00"/>
    <s v="Daiyen Tatiana Velásquez "/>
    <n v="1073171079"/>
    <x v="2"/>
    <s v="https://drive.google.com/drive/folders/1F5cg40wZxqjaFJVfVD9KJgAVIUbinfmC?usp=sharing"/>
    <n v="3057509382"/>
    <x v="1"/>
    <s v="Cundinamarca"/>
    <s v="Madrid"/>
    <s v="RCE_260127_33"/>
    <m/>
    <d v="2026-02-09T00:00:00"/>
    <s v="Sí"/>
    <s v="Equipo Técnico Territorial"/>
    <s v="Sí"/>
  </r>
  <r>
    <d v="2026-01-23T00:00:00"/>
    <s v="Angy Yulieth Galvis Arias"/>
    <n v="1096231390"/>
    <x v="2"/>
    <s v="https://drive.google.com/drive/folders/1W6vPJJ1jSx0HwkHq6De4sSEDBGm3hfm6?usp=sharing"/>
    <n v="3133723985"/>
    <x v="0"/>
    <s v="Santander"/>
    <s v="Barrancabermeja"/>
    <s v="RCE_260127_33"/>
    <m/>
    <d v="2026-02-09T00:00:00"/>
    <s v="Sí"/>
    <s v="Equipo Técnico Territorial"/>
    <s v="No"/>
  </r>
  <r>
    <d v="2026-01-16T00:00:00"/>
    <s v="DAVID ENRIQUE MONTAÑO GÓMEZ"/>
    <n v="1020746780"/>
    <x v="5"/>
    <s v="https://drive.google.com/drive/folders/1nChymlT0GBS-P7_pxKGGAspbZjM0iCUN?usp=sharing"/>
    <s v="305 795 9920"/>
    <x v="0"/>
    <s v="Cundinamarca"/>
    <s v="Zipaquirá"/>
    <s v="RCE_260128_35"/>
    <s v="RCE_260120_21"/>
    <d v="2026-01-27T00:00:00"/>
    <s v="Sí"/>
    <s v="Equipo Nacional"/>
    <s v="No"/>
  </r>
  <r>
    <d v="2026-01-23T00:00:00"/>
    <s v="Nidia Moreno Clavijo"/>
    <n v="28951480"/>
    <x v="1"/>
    <s v="https://drive.google.com/drive/folders/1JZ_9glieOvbQsbgloXGEsqO-CWpvnWce?usp=sharing"/>
    <n v="3123599815"/>
    <x v="4"/>
    <s v="Tolima"/>
    <s v="Ibagué"/>
    <s v="RCE_260128_35"/>
    <m/>
    <d v="2026-02-09T00:00:00"/>
    <s v="Sí"/>
    <s v="Equipo Técnico Territorial"/>
    <s v="No"/>
  </r>
  <r>
    <d v="2026-01-23T00:00:00"/>
    <s v="JOHN JACOBO PALOMINO COLLAZOS"/>
    <n v="93391042"/>
    <x v="1"/>
    <s v="https://drive.google.com/drive/folders/1-oN3UKA-cZMLTJfljywpj91srowPRW0r?usp=sharing"/>
    <n v="3186347608"/>
    <x v="4"/>
    <s v="Tolima"/>
    <s v="Ibagué"/>
    <s v="RCE_260128_35"/>
    <m/>
    <d v="2026-02-09T00:00:00"/>
    <s v="Sí"/>
    <s v="Equipo Técnico Territorial"/>
    <s v="Sí"/>
  </r>
  <r>
    <d v="2026-01-23T00:00:00"/>
    <s v="LUIS CARLOS GOMEZ"/>
    <n v="1014210909"/>
    <x v="2"/>
    <s v="https://drive.google.com/drive/folders/1pcjNm6wngnFYjej-9K122HMNohNQ3OwH?usp=sharing"/>
    <n v="3007712462"/>
    <x v="0"/>
    <s v="Bogotá"/>
    <s v="Bogotá"/>
    <s v="RCE_260128_35"/>
    <m/>
    <d v="2026-02-09T00:00:00"/>
    <s v="Sí"/>
    <s v="Equipo Técnico Territorial"/>
    <s v="No"/>
  </r>
  <r>
    <d v="2026-01-23T00:00:00"/>
    <s v="Kendy Paola Tapia Díaz"/>
    <n v="1045716995"/>
    <x v="2"/>
    <s v="https://drive.google.com/drive/folders/1gv3jLYrYcnH5n42HvXu5Oh9g48mX9D2E?usp=sharing"/>
    <n v="3153946273"/>
    <x v="0"/>
    <s v="Bogotá"/>
    <s v="Bogotá"/>
    <s v="RCE_260128_35"/>
    <m/>
    <d v="2026-02-09T00:00:00"/>
    <s v="Sí"/>
    <s v="Equipo Técnico Territorial"/>
    <s v="No"/>
  </r>
  <r>
    <d v="2026-01-10T00:00:00"/>
    <s v="JULLY KATHERINE MENDEZ CLAVIJO"/>
    <n v="1026254713"/>
    <x v="1"/>
    <s v="https://drive.google.com/drive/folders/1XCwuM8fu8KOnLpeyvDSObFW8FNBcKIzv?usp=sharing"/>
    <n v="3112730466"/>
    <x v="1"/>
    <s v="Casanare"/>
    <s v="Tuaramena"/>
    <s v="RCE_260131_37"/>
    <s v="RCE_260122_30"/>
    <d v="2026-02-06T00:00:00"/>
    <s v="Sí"/>
    <s v="Equipo Técnico Territorial"/>
    <s v="Sí"/>
  </r>
  <r>
    <d v="2026-01-28T00:00:00"/>
    <s v="DIEGO ALEJANDRO PÉREZ GIRALDO"/>
    <n v="18522139"/>
    <x v="1"/>
    <s v="https://drive.google.com/drive/folders/1uY4yhWQYUu4y0JDH6HF2Z2f70EaFo7Af?usp=sharing"/>
    <n v="3164729794"/>
    <x v="4"/>
    <s v="Risaralda"/>
    <s v="Pereira"/>
    <s v="RCE_260131_37"/>
    <m/>
    <d v="2026-02-09T00:00:00"/>
    <s v="Sí"/>
    <s v="Equipo Técnico Territorial"/>
    <s v="No"/>
  </r>
  <r>
    <d v="2026-01-28T00:00:00"/>
    <s v="Juan Guillermo Patiño Benavides"/>
    <n v="75089773"/>
    <x v="1"/>
    <s v="https://drive.google.com/drive/folders/1Qdx0GR2GvccjVFlFWYYjISWb0pvxyLRk?usp=sharing"/>
    <n v="3007191926"/>
    <x v="3"/>
    <s v="Nariño"/>
    <s v="Pasto"/>
    <s v="RCE_260131_37"/>
    <m/>
    <d v="2026-02-09T00:00:00"/>
    <s v="Sí"/>
    <s v="Equipo Técnico Territorial"/>
    <s v="Sí"/>
  </r>
  <r>
    <d v="2026-01-28T00:00:00"/>
    <s v="CAMILO MARTÍNEZ CUCHIMAQUE"/>
    <n v="80224506"/>
    <x v="1"/>
    <s v="https://drive.google.com/drive/folders/1T_cFOPTo2VaorfT5eehf0QBu-KzMXoPd?usp=sharing"/>
    <n v="3143852275"/>
    <x v="3"/>
    <s v="Bogotá"/>
    <s v="Bogotá"/>
    <s v="RCE_260131_37"/>
    <m/>
    <d v="2026-02-09T00:00:00"/>
    <s v="Sí"/>
    <s v="Equipo Técnico Territorial"/>
    <s v="Sí"/>
  </r>
  <r>
    <d v="2026-01-28T00:00:00"/>
    <s v="OSPICIO GUILLERMO BAQUERO SERRANO"/>
    <n v="84085086"/>
    <x v="1"/>
    <s v="https://drive.google.com/drive/folders/1mFzEBg7F48RuPgjjZLWeJOjpoqmwbDIm?usp=sharing"/>
    <n v="3046780887"/>
    <x v="4"/>
    <s v="Tolima"/>
    <s v="Ibagué"/>
    <s v="RCE_260131_37"/>
    <m/>
    <d v="2026-02-09T00:00:00"/>
    <s v="Sí"/>
    <s v="Equipo Técnico Territorial"/>
    <s v="Sí"/>
  </r>
  <r>
    <d v="2026-01-28T00:00:00"/>
    <s v="WALTER MAURICIO JARAMILLO GIL"/>
    <n v="98670000"/>
    <x v="1"/>
    <s v="https://drive.google.com/drive/folders/1gYgIiNlRhS-S_bk_sBtXg8vC-Ph4-UU7?usp=sharing"/>
    <n v="3007481854"/>
    <x v="3"/>
    <s v="Antioquia"/>
    <s v="Medellín"/>
    <s v="RCE_260131_37"/>
    <m/>
    <d v="2026-02-09T00:00:00"/>
    <s v="Sí"/>
    <s v="Equipo Técnico Territorial"/>
    <s v="Sí"/>
  </r>
  <r>
    <d v="2026-01-28T00:00:00"/>
    <s v="Maria Monica Mejia Peralta"/>
    <n v="1067817288"/>
    <x v="1"/>
    <s v="https://drive.google.com/drive/folders/1ZPmYr7sYf_mU3EVlZQv-9MEz7Q79yTmx?usp=sharing"/>
    <n v="3008501379"/>
    <x v="0"/>
    <s v="Bogotá"/>
    <s v="Bogotá"/>
    <s v="RCE_260131_37"/>
    <m/>
    <d v="2026-02-09T00:00:00"/>
    <s v="Sí"/>
    <s v="Equipo Técnico Territorial"/>
    <s v="Sí"/>
  </r>
  <r>
    <d v="2026-01-28T00:00:00"/>
    <s v="Katherine Susana Barón Perdomo"/>
    <n v="1082873559"/>
    <x v="1"/>
    <s v="https://drive.google.com/drive/folders/1Fk_uX0bzym-Af2VD0HkFAcUyhPom21Mx?usp=sharing"/>
    <n v="3006409202"/>
    <x v="2"/>
    <s v="Magdalena"/>
    <s v="Santa Marta"/>
    <s v="RCE_260131_37"/>
    <m/>
    <d v="2026-02-09T00:00:00"/>
    <s v="Sí"/>
    <s v="Equipo Técnico Territorial"/>
    <s v="Sí"/>
  </r>
  <r>
    <d v="2026-01-28T00:00:00"/>
    <s v="Mario Fernando Gomez Murillo"/>
    <n v="1085245667"/>
    <x v="1"/>
    <s v="https://drive.google.com/drive/folders/1F4z7BtsitStwGEEFElckTOL13QOglZT9?usp=sharing"/>
    <n v="3158356222"/>
    <x v="3"/>
    <s v="Nariño"/>
    <s v="Pasto"/>
    <s v="RCE_260131_37"/>
    <m/>
    <d v="2026-02-09T00:00:00"/>
    <s v="Sí"/>
    <s v="Equipo Técnico Territorial"/>
    <s v="Sí"/>
  </r>
  <r>
    <d v="2026-01-28T00:00:00"/>
    <s v="INGRID MARCELA CHACÓN LÓPEZ"/>
    <n v="1118568553"/>
    <x v="1"/>
    <s v="https://drive.google.com/drive/folders/1-GkQTa-Sj9t7T-kCGTitTW4uPSzNd4ek?usp=sharing"/>
    <n v="3214227536"/>
    <x v="0"/>
    <s v="Bogotá"/>
    <s v="Bogotá"/>
    <s v="RCE_260131_37"/>
    <m/>
    <d v="2026-02-09T00:00:00"/>
    <s v="Sí"/>
    <s v="Equipo Técnico Territorial"/>
    <s v="Sí"/>
  </r>
  <r>
    <d v="2026-01-28T00:00:00"/>
    <s v="Igmar Hernando Leon Jimenez"/>
    <n v="1121922931"/>
    <x v="1"/>
    <s v="https://drive.google.com/drive/folders/1n0LfCvVylSOqZWyRf9wx2AFe86ov02XT?usp=sharing"/>
    <n v="3209815876"/>
    <x v="0"/>
    <s v="Bogotá"/>
    <s v="Bogotá"/>
    <s v="RCE_260131_37"/>
    <m/>
    <d v="2026-02-09T00:00:00"/>
    <s v="Sí"/>
    <s v="Equipo Técnico Territorial"/>
    <s v="No"/>
  </r>
  <r>
    <d v="2026-01-28T00:00:00"/>
    <s v="SANDRA PATRICIA RINCON"/>
    <n v="1116496139"/>
    <x v="5"/>
    <s v="https://drive.google.com/drive/folders/15YN0Jet1MYJLta8Yvt-R9EK_fxjA24y-?usp=drive_link"/>
    <n v="3027503577"/>
    <x v="1"/>
    <s v="Arauca"/>
    <s v="Saravena"/>
    <s v="RCE_260131_37"/>
    <m/>
    <d v="2026-02-09T00:00:00"/>
    <s v="Sí"/>
    <s v="Equipo Nacional"/>
    <s v="Sí"/>
  </r>
  <r>
    <d v="2026-01-28T00:00:00"/>
    <s v="GLORIA CRISTINA TORRES MACHADO"/>
    <n v="32202673"/>
    <x v="2"/>
    <s v="https://drive.google.com/drive/folders/1qYHVPGU2tVO2KH01wxH6yX0tn_07Z-bL?usp=sharing"/>
    <n v="3218567876"/>
    <x v="3"/>
    <s v="Antioquia"/>
    <s v="Apartadó"/>
    <s v="RCE_260131_37"/>
    <m/>
    <d v="2026-02-09T00:00:00"/>
    <s v="Sí"/>
    <s v="Equipo Técnico Territorial"/>
    <s v="Sí"/>
  </r>
  <r>
    <d v="2026-01-28T00:00:00"/>
    <s v="DIANA ALEJANDRA FULI GARCIA"/>
    <n v="34328959"/>
    <x v="2"/>
    <s v="https://drive.google.com/drive/folders/1AwljIn-4QolbOvK1HfYQMwtGwisBDZpo?usp=sharing"/>
    <n v="8357743"/>
    <x v="3"/>
    <s v="Cauca"/>
    <s v="Popayán"/>
    <s v="RCE_260131_37"/>
    <m/>
    <d v="2026-02-09T00:00:00"/>
    <s v="Sí"/>
    <s v="Equipo Técnico Territorial"/>
    <s v="Sí"/>
  </r>
  <r>
    <d v="2026-01-28T00:00:00"/>
    <s v="Paola Albeiris Vargas Diaz"/>
    <n v="52361261"/>
    <x v="2"/>
    <s v="https://drive.google.com/drive/folders/1o_LkApH9j7iLI5cI6sKB8Rg362t9_s3z?usp=sharing"/>
    <n v="3154236477"/>
    <x v="0"/>
    <s v="Bogotá"/>
    <s v="Bogotá"/>
    <s v="RCE_260131_37"/>
    <m/>
    <d v="2026-02-09T00:00:00"/>
    <s v="Sí"/>
    <s v="Equipo Técnico Territorial"/>
    <s v="No"/>
  </r>
  <r>
    <d v="2026-01-28T00:00:00"/>
    <s v="Yeimy Liliana Pulido Chaves"/>
    <n v="52708716"/>
    <x v="2"/>
    <s v="https://drive.google.com/drive/folders/1xcgPtaPFKdqQvgUx3dsK58b28xxHOEjy?usp=sharing"/>
    <n v="3174800165"/>
    <x v="0"/>
    <s v="Bogotá"/>
    <s v="Bogotá"/>
    <s v="RCE_260131_37"/>
    <m/>
    <d v="2026-02-09T00:00:00"/>
    <s v="Sí"/>
    <s v="Equipo Técnico Territorial"/>
    <s v="No"/>
  </r>
  <r>
    <d v="2026-01-28T00:00:00"/>
    <s v="DIANA PATRICIA ISAZA UNI"/>
    <n v="52967891"/>
    <x v="2"/>
    <s v="https://drive.google.com/drive/folders/1y1OejYHL6L4dRXYmJVEJo89-BdAC8eDH?usp=sharing"/>
    <n v="3150050280"/>
    <x v="0"/>
    <s v="Bogotá"/>
    <s v="Bogotá"/>
    <s v="RCE_260131_37"/>
    <m/>
    <d v="2026-02-09T00:00:00"/>
    <s v="Sí"/>
    <s v="Equipo Técnico Territorial"/>
    <s v="No"/>
  </r>
  <r>
    <d v="2026-01-28T00:00:00"/>
    <s v="Gina Paola Gonzalez vanegas"/>
    <n v="53079677"/>
    <x v="2"/>
    <s v="https://drive.google.com/drive/folders/1v70l_6h-5Na-ahjAFDDSGm4O-2ujGmXi?usp=sharing"/>
    <n v="3214941301"/>
    <x v="0"/>
    <s v="Bogotá"/>
    <s v="Bogotá"/>
    <s v="RCE_260131_37"/>
    <m/>
    <d v="2026-02-09T00:00:00"/>
    <s v="Sí"/>
    <s v="Equipo Técnico Territorial"/>
    <s v="No"/>
  </r>
  <r>
    <d v="2026-01-28T00:00:00"/>
    <s v="Valeria Valentina Palencia Amaya"/>
    <n v="1019146997"/>
    <x v="2"/>
    <s v="https://drive.google.com/drive/folders/1QJcgPPWO0QDT-UVD9alnP8bl_MSoHnpE?usp=sharing"/>
    <n v="3005436725"/>
    <x v="0"/>
    <s v="Bogotá"/>
    <s v="Bogotá"/>
    <s v="RCE_260131_37"/>
    <m/>
    <d v="2026-02-09T00:00:00"/>
    <s v="Sí"/>
    <s v="Equipo Técnico Territorial"/>
    <s v="No"/>
  </r>
  <r>
    <d v="2026-01-28T00:00:00"/>
    <s v="Claudia Juliana Cruz Castellanos"/>
    <n v="1022343913"/>
    <x v="2"/>
    <s v="https://drive.google.com/drive/folders/14njagqCfiyu81X7WcSzSebs5-wZeIHuS?usp=sharing"/>
    <n v="3123204069"/>
    <x v="0"/>
    <s v="Bogotá"/>
    <s v="Bogotá"/>
    <s v="RCE_260131_37"/>
    <m/>
    <d v="2026-02-09T00:00:00"/>
    <s v="Sí"/>
    <s v="Equipo Técnico Territorial"/>
    <s v="No"/>
  </r>
  <r>
    <d v="2026-01-28T00:00:00"/>
    <s v="Nycol Vanessa Cardenas Arias"/>
    <n v="1024589045"/>
    <x v="2"/>
    <s v="https://drive.google.com/drive/folders/1obErtsCRZzz67GwTcjwVwm6oBay_iA3D?usp=sharing"/>
    <n v="3016814820"/>
    <x v="0"/>
    <s v="Bogotá"/>
    <s v="Bogotá"/>
    <s v="RCE_260131_37"/>
    <m/>
    <d v="2026-02-09T00:00:00"/>
    <s v="Sí"/>
    <s v="Equipo Técnico Territorial"/>
    <s v="Sí"/>
  </r>
  <r>
    <d v="2026-01-28T00:00:00"/>
    <s v="Jhon Daniel Londoño Martinez"/>
    <n v="1152460011"/>
    <x v="2"/>
    <s v="https://drive.google.com/drive/folders/1tN2n6B2r6BU_FVt9nHd1FzaUJAjBayTL?usp=sharing"/>
    <n v="3148617129"/>
    <x v="3"/>
    <s v="Antioquia"/>
    <e v="#REF!"/>
    <s v="RCE_260131_37"/>
    <m/>
    <d v="2026-02-09T00:00:00"/>
    <s v="Sí"/>
    <s v="Equipo Técnico Territorial"/>
    <s v="Sí"/>
  </r>
  <r>
    <d v="2026-01-28T00:00:00"/>
    <s v="MILETH XIOMARA RINCON RAMIREZ"/>
    <n v="1234338768"/>
    <x v="2"/>
    <s v="https://drive.google.com/drive/folders/1Z0hSlrqZhD2W88FIvvFymAgp2vc3n9Jt?usp=sharing"/>
    <n v="3224498344"/>
    <x v="1"/>
    <s v="Arauca"/>
    <e v="#REF!"/>
    <s v="RCE_260131_37"/>
    <m/>
    <d v="2026-02-09T00:00:00"/>
    <s v="Sí"/>
    <s v="Equipo Técnico Territorial"/>
    <s v="Sí"/>
  </r>
  <r>
    <s v="28/01/2026_x000a_20/02/2026"/>
    <s v="YENNY ESPERANZA ACUÑA ROA"/>
    <n v="1115736180"/>
    <x v="5"/>
    <s v="https://drive.google.com/drive/folders/1fWB8ucNNf8bl5-8tPFnxMh04eyL-oR5w?usp=drive_link"/>
    <n v="3214590315"/>
    <x v="1"/>
    <s v="Arauca"/>
    <s v="Arauquita"/>
    <s v="RCE_260131_37_x000a_ RCE_260227_66"/>
    <m/>
    <d v="2026-02-09T00:00:00"/>
    <s v="Sí"/>
    <s v="Equipo Nacional"/>
    <s v="Sí"/>
  </r>
  <r>
    <s v="28/01/2026_x000a_13/02/2026"/>
    <s v="SOLEDAD ACEVEDO RIZO"/>
    <n v="68246790"/>
    <x v="7"/>
    <s v="https://drive.google.com/drive/folders/1R4tYN1Au2VZ8Ncvt5sZks4ndqX9zK3IF"/>
    <n v="3144628351"/>
    <x v="0"/>
    <s v="Arauca"/>
    <e v="#REF!"/>
    <s v="RCE_260131_37_x000a_RCE_260217_55"/>
    <m/>
    <m/>
    <s v="Sí"/>
    <s v="Equipo Nacional"/>
    <s v="Sí"/>
  </r>
  <r>
    <d v="2026-01-28T00:00:00"/>
    <s v="JOAHN ALEXANDER MORA SANTOS"/>
    <n v="1116791493"/>
    <x v="1"/>
    <s v="https://drive.google.com/drive/folders/1hPhXB7pSVDVOyi8MuZQdFRRyvs4aGdO9?usp=sharing"/>
    <n v="3208154057"/>
    <x v="1"/>
    <s v="Arauca"/>
    <e v="#REF!"/>
    <s v="RCE_260204_38"/>
    <m/>
    <d v="2026-02-09T00:00:00"/>
    <s v="Sí"/>
    <s v="Equipo Técnico Territorial"/>
    <s v="Sí"/>
  </r>
  <r>
    <d v="2026-01-28T00:00:00"/>
    <s v="JOHANA ANDREA PORRAS GOMEZ"/>
    <n v="1018435338"/>
    <x v="0"/>
    <s v="https://drive.google.com/drive/folders/1IO97CEVIaSevgAKGlZaPz3m1U3AyK43q?usp=sharing"/>
    <n v="3168704429"/>
    <x v="0"/>
    <s v="Bogotá"/>
    <s v="Bogotá"/>
    <s v="RCE_260204_38"/>
    <m/>
    <d v="2026-02-09T00:00:00"/>
    <s v="Sí"/>
    <s v="Equipo Técnico Territorial"/>
    <s v="Sí"/>
  </r>
  <r>
    <d v="2026-01-28T00:00:00"/>
    <s v="JENNY ALEXANDRA SOLANO RAMÍREZ"/>
    <n v="52397234"/>
    <x v="2"/>
    <s v="https://drive.google.com/drive/folders/1pyZ6tAh-q4XEvDmmssIWx_PG0hNMTDJg?usp=sharing"/>
    <n v="3144212963"/>
    <x v="1"/>
    <s v="Casanare"/>
    <s v="Yopal"/>
    <s v="RCE_260204_38"/>
    <m/>
    <d v="2026-02-09T00:00:00"/>
    <s v="Sí"/>
    <s v="Equipo Técnico Territorial"/>
    <s v="No"/>
  </r>
  <r>
    <d v="2026-01-28T00:00:00"/>
    <s v="LIZETH PAOLA DURAN GRANADOS"/>
    <n v="1082872978"/>
    <x v="2"/>
    <s v="https://drive.google.com/drive/folders/13xfubWLdwC7QP5pXWv3zYcoIikh8v1cl?usp=sharing"/>
    <n v="3016625821"/>
    <x v="2"/>
    <s v="Magdalena"/>
    <s v="Santa Marta"/>
    <s v="RCE_260204_38"/>
    <m/>
    <d v="2026-02-09T00:00:00"/>
    <s v="Sí"/>
    <s v="Equipo Técnico Territorial"/>
    <s v="No"/>
  </r>
  <r>
    <d v="2026-01-28T00:00:00"/>
    <s v="GLORIA ALEXANDRA ORTIZ ROCHA"/>
    <n v="1020807325"/>
    <x v="1"/>
    <s v="https://drive.google.com/drive/folders/1px8uo38gBpZeWsmQ6sPMGrKJCupadQdq?usp=sharing"/>
    <n v="3212135768"/>
    <x v="4"/>
    <s v="Tolima"/>
    <s v="Ibagué"/>
    <s v="RCE_260204_38"/>
    <m/>
    <d v="2026-02-09T00:00:00"/>
    <s v="Sí"/>
    <s v="Equipo Técnico Territorial"/>
    <s v="No"/>
  </r>
  <r>
    <d v="2026-01-28T00:00:00"/>
    <s v="DANNY YAHIR NUÑEZ IBATA"/>
    <n v="79621971"/>
    <x v="1"/>
    <s v="https://drive.google.com/drive/folders/1pJERzjAMUDM_a6rIKchsnMjIS3FQBzTc?usp=sharing"/>
    <n v="5494902"/>
    <x v="0"/>
    <s v="Bogotá"/>
    <s v="Bogotá"/>
    <s v="RCE_260204_38"/>
    <m/>
    <d v="2026-02-09T00:00:00"/>
    <s v="Sí"/>
    <s v="Equipo Técnico Territorial"/>
    <s v="No"/>
  </r>
  <r>
    <d v="2026-01-28T00:00:00"/>
    <s v="JOHNNY ALBEIRO CASTAÑEDA CASTAÑEDA"/>
    <n v="79951791"/>
    <x v="1"/>
    <s v=" https://drive.google.com/drive/folders/1i-8u178bLoErfwY7ii9T6JEJkZl6XPrH?usp=sharing"/>
    <n v="3152724744"/>
    <x v="0"/>
    <s v="Bogotá"/>
    <s v="Bogotá"/>
    <s v="RCE_260204_38"/>
    <m/>
    <d v="2026-02-09T00:00:00"/>
    <s v="Sí"/>
    <s v="Equipo Técnico Territorial"/>
    <s v="Sí"/>
  </r>
  <r>
    <d v="2026-01-28T00:00:00"/>
    <s v="JAVIER MAURICIO VALENCIA CHACUE"/>
    <n v="12280323"/>
    <x v="1"/>
    <s v="https://drive.google.com/drive/folders/1Y4B1XxqrOEIGLuRQ4QhGa80PL-_hgbGB?usp=sharing"/>
    <n v="3105722742"/>
    <x v="0"/>
    <s v="Putumayo"/>
    <s v="Puerto Asis"/>
    <s v="RCE_260204_38"/>
    <m/>
    <d v="2026-02-09T00:00:00"/>
    <s v="Sí"/>
    <s v="Equipo Técnico Territorial"/>
    <s v="Sí"/>
  </r>
  <r>
    <d v="2026-01-28T00:00:00"/>
    <s v="JUAN MANUEL CASTAÑEDA ISAZA"/>
    <n v="7303243"/>
    <x v="1"/>
    <s v="https://drive.google.com/drive/folders/1YwvDoQG6sbTocOPwNGMoLIpx9_p5NQmF?usp=sharing"/>
    <n v="3118514375"/>
    <x v="0"/>
    <s v="Bogotá"/>
    <s v="Bogotá"/>
    <s v="RCE_260204_38"/>
    <m/>
    <d v="2026-02-09T00:00:00"/>
    <s v="Sí"/>
    <s v="Equipo Técnico Territorial"/>
    <s v="No"/>
  </r>
  <r>
    <d v="2026-01-28T00:00:00"/>
    <s v="ANA MARIA MIRANDA NAVARRO"/>
    <n v="49793810"/>
    <x v="2"/>
    <s v="https://drive.google.com/drive/folders/1tapbEt-yL67Ja8kXqd8vVzKcMqEtwyEs?usp=sharing"/>
    <n v="3245608397"/>
    <x v="0"/>
    <s v="Bogotá"/>
    <s v="Bogotá"/>
    <s v="RCE_260204_38"/>
    <m/>
    <d v="2026-02-09T00:00:00"/>
    <s v="Sí"/>
    <s v="Equipo Técnico Territorial"/>
    <s v="No"/>
  </r>
  <r>
    <d v="2026-01-10T00:00:00"/>
    <s v="ANGIE PAOLA Quintero Espitia"/>
    <n v="1013682451"/>
    <x v="1"/>
    <s v="https://drive.google.com/drive/folders/1P44vY5T2aKbfNKLNXSsfqo_9kiRt3CaY?usp=sharing"/>
    <n v="3145670015"/>
    <x v="0"/>
    <s v="Bogotá"/>
    <s v="Bogotá"/>
    <s v="RCE_260205_39"/>
    <m/>
    <d v="2026-02-06T00:00:00"/>
    <s v="Sí"/>
    <s v="Equipo Técnico Territorial"/>
    <s v="No"/>
  </r>
  <r>
    <d v="2026-02-03T00:00:00"/>
    <s v="Harold Valencia Bermúdez"/>
    <n v="16495436"/>
    <x v="1"/>
    <s v="https://drive.google.com/drive/folders/1A4EkaJJ0PlEYzhu_7lNmP66BGF4ukJrW?usp=sharing"/>
    <n v="3165381347"/>
    <x v="3"/>
    <s v="Valle del cauca"/>
    <s v="Cali"/>
    <s v="RCE_260205_41"/>
    <m/>
    <d v="2026-02-09T00:00:00"/>
    <s v="Sí"/>
    <s v="Equipo Técnico Territorial"/>
    <s v="Sí"/>
  </r>
  <r>
    <d v="2026-02-03T00:00:00"/>
    <s v="María Teresa Duque González"/>
    <n v="51768106"/>
    <x v="1"/>
    <s v="https://drive.google.com/drive/folders/1cvrdWVlfnb2Ex5kDFCuDW0vVDuoEaVhh?usp=sharing"/>
    <s v="311 2310341"/>
    <x v="0"/>
    <s v="Huila"/>
    <s v="Neiva"/>
    <s v="RCE_260205_41"/>
    <m/>
    <d v="2026-02-09T00:00:00"/>
    <s v="Sí"/>
    <s v="Equipo Técnico Territorial"/>
    <s v="Sí"/>
  </r>
  <r>
    <d v="2026-02-03T00:00:00"/>
    <s v="Mauricio Montenegro Perafan"/>
    <n v="6804699"/>
    <x v="1"/>
    <s v="https://drive.google.com/drive/folders/1WBOyRIImocIit8THEQDqreQHZtd0oHvJ?usp=sharing"/>
    <n v="3156045259"/>
    <x v="0"/>
    <s v="Caquetá"/>
    <s v="Florencia"/>
    <s v="RCE_260205_41"/>
    <m/>
    <d v="2026-02-09T00:00:00"/>
    <s v="Sí"/>
    <s v="Equipo Técnico Territorial"/>
    <s v="Sí"/>
  </r>
  <r>
    <d v="2026-02-03T00:00:00"/>
    <s v="Cristian José Meza Cerra"/>
    <n v="1102826847"/>
    <x v="1"/>
    <s v="https://drive.google.com/drive/folders/1SSAnq4HUo1ekViaQLEucP_ClPyXBQqu4?usp=sharing"/>
    <s v="300 5333994"/>
    <x v="2"/>
    <s v="Sucre"/>
    <s v="Sincelejo"/>
    <s v="RCE_260205_41"/>
    <m/>
    <d v="2026-02-09T00:00:00"/>
    <s v="Sí"/>
    <s v="Equipo Técnico Territorial"/>
    <s v="Sí"/>
  </r>
  <r>
    <d v="2026-02-03T00:00:00"/>
    <s v="Andrés Felipe Gallo Ruiz"/>
    <n v="89004122"/>
    <x v="1"/>
    <s v="https://drive.google.com/drive/folders/10PZ0-ZpJBzGVEFu0RVVsjKHql9XOnfYO?usp=sharing"/>
    <n v="3124719301"/>
    <x v="4"/>
    <s v="Quindío"/>
    <s v="Armenia"/>
    <s v="RCE_260205_41"/>
    <m/>
    <d v="2026-02-09T00:00:00"/>
    <s v="Sí"/>
    <s v="Equipo Técnico Territorial"/>
    <s v="No"/>
  </r>
  <r>
    <d v="2026-02-03T00:00:00"/>
    <s v="Ana Cristina Lara Pulecio"/>
    <n v="1117535039"/>
    <x v="1"/>
    <s v="https://drive.google.com/drive/folders/1uupFcwXby-nl29YhJB1WaxAbi5VgZYdu?usp=sharing"/>
    <n v="3177073389"/>
    <x v="0"/>
    <s v="Caquetá"/>
    <e v="#REF!"/>
    <s v="RCE_260205_41"/>
    <m/>
    <d v="2026-02-10T00:00:00"/>
    <s v="Sí"/>
    <s v="Equipo Técnico Territorial"/>
    <s v="No"/>
  </r>
  <r>
    <d v="2026-02-03T00:00:00"/>
    <s v="Jenny Carolina Correa Prada"/>
    <n v="52880720"/>
    <x v="1"/>
    <s v="https://drive.google.com/drive/folders/1w3H7CCSaOcK7uZ4m2awYVl5vcikrA7BV?usp=sharing"/>
    <n v="3202201882"/>
    <x v="0"/>
    <s v="Bogotá"/>
    <s v="Bogotá"/>
    <s v="RCE_260205_41"/>
    <m/>
    <d v="2026-02-09T00:00:00"/>
    <s v="Sí"/>
    <s v="Equipo Técnico Territorial"/>
    <s v="No"/>
  </r>
  <r>
    <d v="2026-02-03T00:00:00"/>
    <s v="Lorena Mercedes Triviño Hernández"/>
    <n v="1079409209"/>
    <x v="1"/>
    <s v="https://drive.google.com/drive/folders/1ngl-dMNu6gHbecXOuMMeqk4qv0xuxEUP?usp=sharing"/>
    <n v="3123382373"/>
    <x v="2"/>
    <s v="Huila "/>
    <s v="Neiva"/>
    <s v="RCE_260205_41"/>
    <m/>
    <d v="2026-02-09T00:00:00"/>
    <s v="Sí"/>
    <s v="Equipo Técnico Territorial"/>
    <s v="Sí"/>
  </r>
  <r>
    <d v="2026-02-03T00:00:00"/>
    <s v="Andrea Del Pilar Conde Capera"/>
    <n v="1075217087"/>
    <x v="1"/>
    <s v="https://drive.google.com/drive/folders/11YjpHgwQg9fG3kJoi86HLkGSZzfbGVQv?usp=sharing"/>
    <s v="310 350 3297"/>
    <x v="0"/>
    <s v="Bogotá"/>
    <s v="Bogotá"/>
    <s v="RCE_260205_41"/>
    <m/>
    <d v="2026-02-09T00:00:00"/>
    <s v="Sí"/>
    <s v="Equipo Técnico Territorial"/>
    <s v="No"/>
  </r>
  <r>
    <d v="2026-02-03T00:00:00"/>
    <s v="Cesar Augusto Pulecio Méndez"/>
    <n v="17658138"/>
    <x v="1"/>
    <s v="https://drive.google.com/drive/folders/1ynm5SumEzw0K352f_i15M2ivRKzB0zb7?usp=sharing"/>
    <n v="3168231223"/>
    <x v="0"/>
    <s v="Caquetá"/>
    <s v="Florencia"/>
    <s v="RCE_260205_41"/>
    <m/>
    <d v="2026-02-09T00:00:00"/>
    <s v="Sí"/>
    <s v="Equipo Técnico Territorial"/>
    <s v="No"/>
  </r>
  <r>
    <d v="2026-02-03T00:00:00"/>
    <s v="John Wilmer Martínez Cruz"/>
    <n v="1051674009"/>
    <x v="1"/>
    <s v="https://drive.google.com/drive/folders/1p8-yNT8PDpZoTF5iUkjXaEEc06kXqhq9?usp=sharing"/>
    <n v="3017582488"/>
    <x v="0"/>
    <s v="Bogotá"/>
    <s v="Bogotá"/>
    <s v="RCE_260205_41"/>
    <m/>
    <d v="2026-02-09T00:00:00"/>
    <s v="Sí"/>
    <s v="Equipo Técnico Territorial"/>
    <s v="No"/>
  </r>
  <r>
    <d v="2026-02-03T00:00:00"/>
    <s v="Leina Carina Vitobis Alvira"/>
    <n v="55131081"/>
    <x v="1"/>
    <s v="https://drive.google.com/drive/folders/10zLWqSkdRn9XWAx6ji-lnKVh9ScLQRpu?usp=sharing"/>
    <n v="3203061315"/>
    <x v="0"/>
    <s v="Huila"/>
    <s v="Neiva"/>
    <s v="RCE_260205_41"/>
    <m/>
    <d v="2026-02-09T00:00:00"/>
    <s v="Sí"/>
    <s v="Equipo Técnico Territorial"/>
    <s v="No"/>
  </r>
  <r>
    <d v="2026-02-03T00:00:00"/>
    <s v="Delia Paola Murillo Cordoba"/>
    <n v="35893653"/>
    <x v="1"/>
    <s v="https://drive.google.com/drive/folders/1JBdoNbs4TbwS5GVJrzmPDbPETL4y-KIT?usp=sharing"/>
    <n v="3207757239"/>
    <x v="3"/>
    <s v="Chocó"/>
    <s v="Quibdó"/>
    <s v="RCE_260205_41"/>
    <m/>
    <d v="2026-02-09T00:00:00"/>
    <s v="Sí"/>
    <s v="Equipo Técnico Territorial"/>
    <s v="No"/>
  </r>
  <r>
    <d v="2026-02-03T00:00:00"/>
    <s v="Martha Liliana Escobar"/>
    <n v="26470893"/>
    <x v="1"/>
    <s v="https://drive.google.com/drive/folders/16oNEi7fdCN6MTgV_J4B59ZcWLt9swAvF?usp=sharing"/>
    <n v="3152636759"/>
    <x v="2"/>
    <s v="Huila"/>
    <s v="Tesalia"/>
    <s v="RCE_260205_41"/>
    <m/>
    <d v="2026-02-09T00:00:00"/>
    <s v="Sí"/>
    <s v="Equipo Técnico Territorial"/>
    <s v="No"/>
  </r>
  <r>
    <d v="2026-02-03T00:00:00"/>
    <s v="Maira Vasquez Rivera"/>
    <n v="64705153"/>
    <x v="2"/>
    <s v="https://drive.google.com/drive/folders/1yu_7-hHLLZsy5wE2qdkD8Wo4Tx3dsQHq?usp=sharing"/>
    <n v="3208976411"/>
    <x v="0"/>
    <s v="Meta"/>
    <s v="Granada"/>
    <s v="RCE_260205_41"/>
    <m/>
    <d v="2026-02-09T00:00:00"/>
    <s v="Sí"/>
    <s v="Equipo Técnico Territorial"/>
    <s v="No"/>
  </r>
  <r>
    <d v="2026-02-03T00:00:00"/>
    <s v="Leidy Katherine Peña Morales"/>
    <n v="1022386793"/>
    <x v="2"/>
    <s v="https://drive.google.com/drive/folders/1FECXl1ubJOJVdZ6UAUt69pWq_zGgRSx0?usp=sharing"/>
    <s v="321 3251461"/>
    <x v="0"/>
    <s v="Bogotá"/>
    <s v="Bogotá"/>
    <s v="RCE_260205_41"/>
    <m/>
    <d v="2026-02-09T00:00:00"/>
    <s v="Sí"/>
    <s v="Equipo Técnico Territorial"/>
    <s v="No"/>
  </r>
  <r>
    <d v="2026-02-03T00:00:00"/>
    <s v="Viviana Baquero Castellanos"/>
    <n v="53154152"/>
    <x v="1"/>
    <s v="https://drive.google.com/drive/folders/112kbjkEfHkMyZpKVD0rlqb_HlLft_zok?usp=sharing"/>
    <n v="3112112428"/>
    <x v="0"/>
    <s v="Bogotá"/>
    <s v="Bogotá"/>
    <s v="RCE_260205_41_x000a_RCE_260206_43"/>
    <m/>
    <d v="2026-02-09T00:00:00"/>
    <s v="Sí"/>
    <s v="Equipo Técnico Territorial"/>
    <s v="No"/>
  </r>
  <r>
    <d v="2026-02-03T00:00:00"/>
    <s v="Erney Rosero Lagos"/>
    <n v="12264698"/>
    <x v="1"/>
    <s v="https://drive.google.com/drive/folders/1oXtMvDI-Gy2KiwMcp3Y3ZHmQtI5CSfu-?usp=sharing"/>
    <n v="3115324571"/>
    <x v="3"/>
    <s v="Putumayo"/>
    <s v="Puerto Asis"/>
    <s v="RCE_260206_43"/>
    <m/>
    <d v="2026-02-10T00:00:00"/>
    <s v="Sí"/>
    <s v="Equipo Técnico Territorial"/>
    <s v="Sí"/>
  </r>
  <r>
    <d v="2026-02-03T00:00:00"/>
    <s v="Mary Luz Duarte Garzon"/>
    <n v="1019022042"/>
    <x v="2"/>
    <s v="https://drive.google.com/drive/folders/15BqFMGheaTPQ2HtfgfactbwGDHdAaiSQ?usp=sharing"/>
    <s v="3163819178 - 3150667131"/>
    <x v="0"/>
    <s v="Bogotá"/>
    <s v="Bogotá"/>
    <s v="RCE_260206_43"/>
    <m/>
    <d v="2026-02-10T00:00:00"/>
    <s v="Sí"/>
    <s v="Equipo Técnico Territorial"/>
    <s v="No"/>
  </r>
  <r>
    <d v="2026-02-03T00:00:00"/>
    <s v="Jenny Carolina Martínez Beltran"/>
    <n v="52821012"/>
    <x v="1"/>
    <s v="https://drive.google.com/drive/folders/1_urQBMNqIym7LEGV6bODfKYzgWrTScPA?usp=sharing"/>
    <s v="312 3270016"/>
    <x v="0"/>
    <s v="Bogotá"/>
    <s v="Bogotá"/>
    <s v="RCE_260209_45"/>
    <m/>
    <d v="2026-02-10T00:00:00"/>
    <s v="Sí"/>
    <s v="Equipo Técnico Territorial"/>
    <s v="No"/>
  </r>
  <r>
    <d v="2026-02-03T00:00:00"/>
    <s v="Jhon Edison Chaparro Cetina"/>
    <n v="1049603437"/>
    <x v="1"/>
    <s v="https://drive.google.com/drive/folders/1f-v1MTq8p325a4DTWegQSFax1kMMSCXc?usp=sharing"/>
    <n v="3153024391"/>
    <x v="1"/>
    <s v="Boyacá"/>
    <s v="Tunja"/>
    <s v="RCE_260209_45"/>
    <m/>
    <d v="2026-02-10T00:00:00"/>
    <s v="Sí"/>
    <s v="Equipo Técnico Territorial"/>
    <s v="Sí"/>
  </r>
  <r>
    <d v="2026-02-03T00:00:00"/>
    <s v="Jaime Eduardo Díaz Jaime"/>
    <n v="74244802"/>
    <x v="1"/>
    <s v="https://drive.google.com/drive/folders/1olR6WTaO_mWL9WtjpDgwZ1crS63x_iCo?usp=sharing"/>
    <s v="313 236 7713"/>
    <x v="1"/>
    <s v="Santander"/>
    <s v="Oiba"/>
    <s v="RCE_260209_45"/>
    <m/>
    <d v="2026-02-10T00:00:00"/>
    <s v="Sí"/>
    <s v="Equipo Técnico Territorial"/>
    <s v="Sí"/>
  </r>
  <r>
    <d v="2026-02-03T00:00:00"/>
    <s v="Diana Chavarro Rodríguez"/>
    <n v="1032397672"/>
    <x v="2"/>
    <s v="https://drive.google.com/drive/folders/1zLfPmSFFE4dm4kRbteYAFEo5L33zWgNa?usp=sharing"/>
    <n v="3192339761"/>
    <x v="0"/>
    <s v="Bogotá"/>
    <s v="Bogotá"/>
    <s v="RCE_260209_45"/>
    <m/>
    <d v="2026-02-10T00:00:00"/>
    <s v="Sí"/>
    <s v="Equipo Técnico Territorial"/>
    <s v="No"/>
  </r>
  <r>
    <d v="2026-02-03T00:00:00"/>
    <s v="Javier Ortiz Rodríguez"/>
    <n v="1057591703"/>
    <x v="2"/>
    <s v="https://drive.google.com/drive/folders/1lq9aDNtHm6RCEjfKJq7Ypu7GsXEBGe0v?usp=sharing"/>
    <n v="3194067749"/>
    <x v="3"/>
    <s v="Antioquia"/>
    <e v="#REF!"/>
    <s v="RCE_260209_45"/>
    <m/>
    <d v="2026-02-10T00:00:00"/>
    <s v="Sí"/>
    <s v="Equipo Técnico Territorial"/>
    <s v="No"/>
  </r>
  <r>
    <d v="2026-02-03T00:00:00"/>
    <s v="José Eduardo Jiménez Patiño"/>
    <n v="1110512462"/>
    <x v="2"/>
    <s v="https://drive.google.com/drive/folders/1FszRGSfXIeGm1nthCJN9iLvdniRQfh3i?usp=sharing"/>
    <n v="3202601023"/>
    <x v="4"/>
    <s v="Tolima"/>
    <s v="Ibagué"/>
    <s v="RCE_260209_45"/>
    <m/>
    <d v="2026-02-10T00:00:00"/>
    <s v="Sí"/>
    <s v="Equipo Técnico Territorial"/>
    <s v="No"/>
  </r>
  <r>
    <d v="2026-02-03T00:00:00"/>
    <s v="Johan Hernando Urrea Monsalve"/>
    <n v="1110552706"/>
    <x v="5"/>
    <s v="https://drive.google.com/drive/folders/1r72FZElyJbFjUI6qb5szSwdQ_FmLMR1o?usp=sharing"/>
    <s v="313 312 9536"/>
    <x v="4"/>
    <s v="Tolima"/>
    <s v="Ibagué"/>
    <s v="RCE_260209_45"/>
    <m/>
    <d v="2026-02-09T00:00:00"/>
    <s v="Sí"/>
    <s v="Equipo Nacional"/>
    <s v="No"/>
  </r>
  <r>
    <d v="2026-02-03T00:00:00"/>
    <s v="Luz Andrea Sotelo Trujillo"/>
    <n v="52341322"/>
    <x v="5"/>
    <s v="https://drive.google.com/drive/folders/1soknvNchjAA60zmgoQXXv_EPJCh4I8yA?usp=sharing"/>
    <n v="3057884069"/>
    <x v="0"/>
    <s v="Bogotá"/>
    <s v="Bogotá"/>
    <s v="RCE_260209_45"/>
    <m/>
    <d v="2026-02-10T00:00:00"/>
    <s v="Sí"/>
    <s v="Equipo Nacional"/>
    <s v="No"/>
  </r>
  <r>
    <d v="2026-02-03T00:00:00"/>
    <s v="Juan Diego Rodríguez Monroy"/>
    <n v="1012323988"/>
    <x v="5"/>
    <s v="https://drive.google.com/drive/folders/1Li3-nEcnj1A3z3pbiReACYatTFHY6ZFv?usp=sharing"/>
    <s v="322 711 3012"/>
    <x v="0"/>
    <s v="Bogotá"/>
    <s v="Bogotá"/>
    <s v="RCE_260209_45"/>
    <m/>
    <d v="2026-02-10T00:00:00"/>
    <s v="Sí"/>
    <s v="Equipo Nacional"/>
    <s v="Sí"/>
  </r>
  <r>
    <d v="2026-02-03T00:00:00"/>
    <s v="Carol Santos Castro"/>
    <n v="1023894108"/>
    <x v="2"/>
    <s v="https://drive.google.com/drive/folders/1Dvvp5n-7LkLC8RouXxSmFrW9R48D5lsT?usp=sharing "/>
    <n v="3102763192"/>
    <x v="0"/>
    <s v="Bogotá"/>
    <s v="Bogotá"/>
    <s v="RCE_260210_46"/>
    <s v="RCE_260209_44"/>
    <d v="2026-02-10T00:00:00"/>
    <s v="Sí"/>
    <s v="Equipo Técnico Territorial"/>
    <s v="No"/>
  </r>
  <r>
    <d v="2026-02-03T00:00:00"/>
    <s v="Cristian David Gaviria Mosquera"/>
    <n v="1061811984"/>
    <x v="7"/>
    <s v="https://drive.google.com/drive/folders/1ipZcBlp-Bv2r0WTXlvQA9bTmh1Fs04Vi?usp=sharing "/>
    <n v="3132467922"/>
    <x v="3"/>
    <s v="Cauca"/>
    <s v="Popayán"/>
    <s v="RCE_260210_46"/>
    <s v="RCE_260209_44"/>
    <d v="2026-02-10T00:00:00"/>
    <s v="Sí"/>
    <s v="Equipo Nacional"/>
    <s v="No"/>
  </r>
  <r>
    <d v="2026-02-03T00:00:00"/>
    <s v="Sandra Liliana Arteaga Briñez"/>
    <n v="40774284"/>
    <x v="1"/>
    <s v="https://drive.google.com/drive/folders/1v1XkFDu-NpYU-cIhiYKl2j9Lezr8XYeD?usp=sharing"/>
    <n v="3124345760"/>
    <x v="1"/>
    <s v="Casanare"/>
    <s v="Yopal"/>
    <s v="RCE_260210_46"/>
    <m/>
    <m/>
    <s v="Sí"/>
    <s v="Equipo Técnico Territorial"/>
    <s v="Sí"/>
  </r>
  <r>
    <d v="2026-02-03T00:00:00"/>
    <s v="Jesus Gustavo Martinez graffe"/>
    <n v="1122731646"/>
    <x v="1"/>
    <s v="https://drive.google.com/drive/folders/1McuhEbtIdL9vK3qyMZDriaWvISMA13Yj?usp=sharing"/>
    <n v="3104561430"/>
    <x v="3"/>
    <s v="Putumayo"/>
    <s v="Puerto Leguízamo"/>
    <s v="RCE_260210_46"/>
    <m/>
    <m/>
    <s v="Sí"/>
    <s v="Equipo Técnico Territorial"/>
    <s v="Sí"/>
  </r>
  <r>
    <d v="2026-01-28T00:00:00"/>
    <s v="Lucy Angélica Solano Garces"/>
    <n v="1061819481"/>
    <x v="1"/>
    <s v="https://drive.google.com/drive/folders/136R8eK4W6uZ6z5WwPA1GEQnEDfGYGBut?usp=sharing"/>
    <n v="3126584780"/>
    <x v="0"/>
    <s v="Cauca"/>
    <e v="#REF!"/>
    <s v="RCE_260211_49"/>
    <s v="RCE_260131_36"/>
    <d v="2026-02-09T00:00:00"/>
    <s v="Sí"/>
    <s v="Equipo Técnico Territorial"/>
    <s v="Sí"/>
  </r>
  <r>
    <d v="2026-01-28T00:00:00"/>
    <s v="Lizeth Johanna Cano Muñoz"/>
    <n v="1110481286"/>
    <x v="1"/>
    <s v="https://drive.google.com/drive/folders/1FofHc1FB5t031jebH_UwtEL-9gQNLe2p?usp=sharing"/>
    <n v="3145284729"/>
    <x v="3"/>
    <s v="Antioquia"/>
    <e v="#REF!"/>
    <s v="RCE_260211_49"/>
    <s v="RCE_260131_36"/>
    <d v="2026-02-09T00:00:00"/>
    <s v="Sí"/>
    <s v="Equipo Técnico Territorial"/>
    <s v="No"/>
  </r>
  <r>
    <d v="2026-02-09T00:00:00"/>
    <s v="Patricia Sandoval Manrique"/>
    <n v="34568952"/>
    <x v="1"/>
    <s v="https://drive.google.com/drive/folders/1QaMuw3Gu2X8JSqp_v3kjn9AQ19A3Rl1d?usp=sharing"/>
    <s v="3128973438 - 3117233995"/>
    <x v="3"/>
    <s v="Cauca"/>
    <s v="Mercaderes"/>
    <s v="RCE_260211_49"/>
    <m/>
    <d v="2026-02-19T00:00:00"/>
    <s v="Sí"/>
    <s v="Equipo Técnico Territorial"/>
    <s v="Sí"/>
  </r>
  <r>
    <d v="2026-02-09T00:00:00"/>
    <s v="Leiner Arizala Guerrero"/>
    <n v="1087189695"/>
    <x v="1"/>
    <s v="https://drive.google.com/drive/folders/1LGSAlQfESOzjk6loen21h7owF-kpnYHj?usp=sharing"/>
    <n v="3217132452"/>
    <x v="3"/>
    <s v="Nariño"/>
    <s v="San Andrés de Tumaco"/>
    <s v="RCE_260211_49"/>
    <m/>
    <d v="2026-02-19T00:00:00"/>
    <s v="Sí"/>
    <s v="Equipo Técnico Territorial"/>
    <s v="No"/>
  </r>
  <r>
    <d v="2026-02-09T00:00:00"/>
    <s v="Guillermo Hernan Acevedo Rodriguez"/>
    <n v="79451771"/>
    <x v="1"/>
    <s v="https://drive.google.com/drive/folders/1F7ORw9kn9QejR-Ys1QPjvin9mj8wV-Qs?usp=sharing"/>
    <n v="3002913920"/>
    <x v="0"/>
    <s v="Bogotá"/>
    <s v="Bogotá"/>
    <s v="RCE_260211_49"/>
    <m/>
    <d v="2026-02-19T00:00:00"/>
    <s v="Sí"/>
    <s v="Equipo Técnico Territorial"/>
    <s v="No"/>
  </r>
  <r>
    <d v="2026-02-09T00:00:00"/>
    <s v="Yolanda Maricela Anaguano Cuaspa"/>
    <n v="1086755543"/>
    <x v="1"/>
    <s v="https://drive.google.com/drive/folders/1rCSt0-uMtOsCpPJy8t66QfaQnXlHDDvj?usp=sharing"/>
    <n v="3155249955"/>
    <x v="3"/>
    <s v="Nariño"/>
    <s v="San juan de pasto"/>
    <s v="RCE_260211_49"/>
    <m/>
    <d v="2026-02-19T00:00:00"/>
    <s v="Sí"/>
    <s v="Equipo Técnico Territorial"/>
    <s v="Sí"/>
  </r>
  <r>
    <d v="2026-02-09T00:00:00"/>
    <s v="OLGA LUCÍA VEGA MONROY"/>
    <n v="47429349"/>
    <x v="1"/>
    <s v="https://drive.google.com/drive/folders/1-5YH8EF9wPzCJpuSgMIyG839Wr589utg?usp=sharing"/>
    <s v="314-2494134"/>
    <x v="1"/>
    <s v="Casanare"/>
    <s v="Yopal"/>
    <s v="RCE_260211_49"/>
    <m/>
    <d v="2026-02-19T00:00:00"/>
    <s v="Sí"/>
    <s v="Equipo Técnico Territorial"/>
    <s v="No"/>
  </r>
  <r>
    <d v="2026-02-09T00:00:00"/>
    <s v="ANGELA DANIELA SÁNCHEZ RUIZ"/>
    <n v="1085275813"/>
    <x v="1"/>
    <s v="https://drive.google.com/drive/folders/1vJ_6xryEugBoZEvWV1zfYJQ4o-kSf1Ja?usp=sharing"/>
    <n v="3113630778"/>
    <x v="3"/>
    <s v="Nariño"/>
    <s v="Pasto"/>
    <s v="RCE_260211_49"/>
    <m/>
    <d v="2026-02-16T00:00:00"/>
    <s v="Sí"/>
    <s v="Equipo Técnico Territorial"/>
    <s v="No"/>
  </r>
  <r>
    <d v="2026-02-09T00:00:00"/>
    <s v="REINALDO PEREZ DAZA"/>
    <n v="77033136"/>
    <x v="1"/>
    <s v="https://drive.google.com/drive/folders/1lnyQ_15_kMFP_Qa28XlozrJx5ZIMGjId?usp=sharing"/>
    <n v="3167650472"/>
    <x v="2"/>
    <s v="Cesar"/>
    <e v="#REF!"/>
    <s v="RCE_260211_49"/>
    <m/>
    <d v="2026-02-19T00:00:00"/>
    <s v="Sí"/>
    <s v="Equipo Técnico Territorial"/>
    <s v="No"/>
  </r>
  <r>
    <d v="2026-02-09T00:00:00"/>
    <s v="Kevin Yair Díaz Rodríguez"/>
    <n v="106788000"/>
    <x v="1"/>
    <s v="https://drive.google.com/drive/folders/1tK8BhrR8mQMCJn0zW9maoaow0ed5eO4Z?usp=sharing"/>
    <s v="304 3507998"/>
    <x v="2"/>
    <s v="Córdoba"/>
    <s v="Montería"/>
    <s v="RCE_260211_49"/>
    <m/>
    <d v="2026-02-19T00:00:00"/>
    <s v="Sí"/>
    <s v="Equipo Técnico Territorial"/>
    <s v="Sí"/>
  </r>
  <r>
    <d v="2026-02-09T00:00:00"/>
    <s v="Luis Sebastian Sanabria Silva"/>
    <n v="1120373131"/>
    <x v="1"/>
    <s v="https://drive.google.com/drive/folders/1HICNpW9QHTleLNuxawt1d5jfn-Qm1H3n?usp=sharing"/>
    <s v="3008533923 - 3112706253"/>
    <x v="0"/>
    <s v="Meta"/>
    <s v="Granada"/>
    <s v="RCE_260211_49"/>
    <m/>
    <d v="2026-02-19T00:00:00"/>
    <s v="Sí"/>
    <s v="Equipo Técnico Territorial"/>
    <s v="No"/>
  </r>
  <r>
    <d v="2026-02-09T00:00:00"/>
    <s v="JUANA JUDITH BUELVAS GUERRERO"/>
    <n v="49773306"/>
    <x v="1"/>
    <s v="https://drive.google.com/drive/folders/1hq80H0N3WgY671Kp7S-upJdlcdHw8QCf?usp=sharing"/>
    <s v="3004040910 - 3224325832"/>
    <x v="2"/>
    <s v="Cesar"/>
    <s v="Valledupar"/>
    <s v="RCE_260211_49"/>
    <m/>
    <d v="2026-02-19T00:00:00"/>
    <s v="Sí"/>
    <s v="Equipo Técnico Territorial"/>
    <s v="Sí"/>
  </r>
  <r>
    <d v="2026-02-09T00:00:00"/>
    <s v="HANNER JEFFERSON CARDENAS GONZALEZ"/>
    <n v="1121857939"/>
    <x v="1"/>
    <s v="https://drive.google.com/drive/folders/1OiC82OZG_FyvG9esm7XI9qO4Zk91tp5T?usp=sharing"/>
    <n v="3153351330"/>
    <x v="0"/>
    <s v="Meta"/>
    <s v="Granada"/>
    <s v="RCE_260211_49"/>
    <m/>
    <d v="2026-02-19T00:00:00"/>
    <s v="Sí"/>
    <s v="Equipo Técnico Territorial"/>
    <s v="Sí"/>
  </r>
  <r>
    <d v="2026-02-09T00:00:00"/>
    <s v="Deisy Liliana Viveros Castillo"/>
    <n v="1087109934"/>
    <x v="1"/>
    <s v="https://drive.google.com/drive/folders/1GdJn3R5Ccs5qzSFTLJuE1BvBlBEBglVj?usp=sharing"/>
    <n v="3154099364"/>
    <x v="3"/>
    <s v="Nariño"/>
    <e v="#REF!"/>
    <s v="RCE_260211_49"/>
    <m/>
    <d v="2026-02-19T00:00:00"/>
    <s v="Sí"/>
    <s v="Equipo Técnico Territorial"/>
    <s v="No"/>
  </r>
  <r>
    <d v="2026-02-09T00:00:00"/>
    <s v="DIEGO ALEJANDRO TURCO DIAZ"/>
    <n v="1072656396"/>
    <x v="2"/>
    <s v="https://drive.google.com/drive/folders/1Q9LUZcznKMuex4Q6r-7sduUASe4KsBXW?usp=sharing"/>
    <n v="3108080970"/>
    <x v="4"/>
    <s v="Bogotá"/>
    <s v="Bogotá"/>
    <s v="RCE_260211_49"/>
    <m/>
    <d v="2026-02-19T00:00:00"/>
    <s v="Sí"/>
    <s v="Equipo Técnico Territorial"/>
    <s v="No"/>
  </r>
  <r>
    <d v="2026-02-09T00:00:00"/>
    <s v="DIEGO FERNANDO GONZALEZ AMORTEGUI"/>
    <n v="1110545088"/>
    <x v="2"/>
    <s v="https://drive.google.com/drive/folders/1uqPcMnqAmTAW6HUkf7FBHrUf_LiYFBOK?usp=sharing"/>
    <s v="310 889 5806"/>
    <x v="0"/>
    <s v="Bogotá"/>
    <s v="Bogotá"/>
    <s v="RCE_260211_49"/>
    <m/>
    <d v="2026-02-19T00:00:00"/>
    <s v="Sí"/>
    <s v="Equipo Técnico Territorial"/>
    <s v="No"/>
  </r>
  <r>
    <d v="2026-02-09T00:00:00"/>
    <s v="Cristian Fabian Cruz Anachury"/>
    <n v="1047477381"/>
    <x v="2"/>
    <s v="https://drive.google.com/drive/folders/13JvicLmkeF1XVxoika-9vjr8MOJyB2yP?usp=sharing"/>
    <n v="3145931266"/>
    <x v="2"/>
    <s v="Bolívar"/>
    <s v="Cartagena"/>
    <s v="RCE_260211_49"/>
    <m/>
    <d v="2026-02-19T00:00:00"/>
    <s v="Sí"/>
    <s v="Equipo Técnico Territorial"/>
    <s v="No"/>
  </r>
  <r>
    <d v="2026-02-09T00:00:00"/>
    <s v="Angela Maria Uribe Copete"/>
    <n v="43867460"/>
    <x v="2"/>
    <s v="https://drive.google.com/drive/folders/15-CGsIdOSlS-rzQYx7dFnYuJ3-MB1NvT?usp=sharing"/>
    <s v="304 580 77 07"/>
    <x v="3"/>
    <s v="Antioquia"/>
    <e v="#REF!"/>
    <s v="RCE_260211_49"/>
    <m/>
    <d v="2026-02-19T00:00:00"/>
    <s v="Sí"/>
    <s v="Equipo Técnico Territorial"/>
    <s v="No"/>
  </r>
  <r>
    <d v="2026-02-09T00:00:00"/>
    <s v="MARIA LUISA GIL RESTREPO"/>
    <n v="2358332"/>
    <x v="2"/>
    <s v="https://drive.google.com/drive/folders/1S07Pv3QXyux5CD1bchUhLSo8kCxB_cix?usp=sharing"/>
    <s v="3146915795 - 3159046950"/>
    <x v="2"/>
    <s v="Atlántico"/>
    <s v="Barranquilla"/>
    <s v="RCE_260211_49"/>
    <m/>
    <d v="2026-02-19T00:00:00"/>
    <s v="Sí"/>
    <s v="Equipo Técnico Territorial"/>
    <s v="No"/>
  </r>
  <r>
    <d v="2026-02-09T00:00:00"/>
    <s v="MAYERLY ANDREA SOLANO AGUILLÓN"/>
    <n v="1005065097"/>
    <x v="5"/>
    <s v="https://drive.google.com/drive/folders/1c3bmg3GsXC2BnLKY5wEFgO7u8FmZtMYN?usp=sharing "/>
    <s v="314-5595453"/>
    <x v="1"/>
    <s v="Arauca"/>
    <s v="Saravena"/>
    <s v="RCE_260211_49"/>
    <m/>
    <d v="2026-02-19T00:00:00"/>
    <s v="Sí"/>
    <s v="Equipo Nacional"/>
    <s v="Sí"/>
  </r>
  <r>
    <d v="2026-02-09T00:00:00"/>
    <s v="Joisse Smith Lopez Sanchez"/>
    <n v="1124990998"/>
    <x v="1"/>
    <s v="https://drive.google.com/drive/folders/1F4fubf8AgJDMns7mE43j8LtLqCXl1MLf?usp=sharing"/>
    <n v="3106774581"/>
    <x v="0"/>
    <s v="Vichada"/>
    <s v="Puerto Carreño"/>
    <s v="RCE_260212_50"/>
    <m/>
    <d v="2026-02-19T00:00:00"/>
    <s v="Sí"/>
    <s v="Equipo Técnico Territorial"/>
    <s v="No"/>
  </r>
  <r>
    <d v="2026-02-09T00:00:00"/>
    <s v="Juan Carlos Correa Mendez"/>
    <n v="18262113"/>
    <x v="1"/>
    <s v="https://drive.google.com/drive/folders/1rFL0ZTTKgAstjRWhKfPY43Wx7tQJRDVT?usp=sharing"/>
    <n v="3107855175"/>
    <x v="0"/>
    <s v="Vichada"/>
    <s v="Puerto Carreño"/>
    <s v="RCE_260212_50"/>
    <m/>
    <d v="2026-02-19T00:00:00"/>
    <s v="Sí"/>
    <s v="Equipo Técnico Territorial"/>
    <s v="Sí"/>
  </r>
  <r>
    <d v="2026-02-09T00:00:00"/>
    <s v="JUAN PABLO CARRILLO CETINA"/>
    <n v="1121894968"/>
    <x v="1"/>
    <s v="https://drive.google.com/drive/folders/1uXY16lHIpkzB7J2A-XIovxQ203fxgQos"/>
    <n v="3208143473"/>
    <x v="0"/>
    <s v="Meta"/>
    <s v="Villavicencio"/>
    <s v="RCE_260212_50"/>
    <m/>
    <d v="2026-02-19T00:00:00"/>
    <s v="Sí"/>
    <s v="Equipo Técnico Territorial"/>
    <s v="Sí"/>
  </r>
  <r>
    <d v="2026-02-09T00:00:00"/>
    <s v="CLAUDIA PATRICIA CABRERA TORDECILLA"/>
    <n v="39417710"/>
    <x v="1"/>
    <s v="https://drive.google.com/drive/folders/1UhCLl72ytuVseaE5xZC8SsIrE19Oz6OK?usp=sharing"/>
    <s v="3154681386-3216399536"/>
    <x v="3"/>
    <s v="Antioquia"/>
    <s v="La Estrella"/>
    <s v="RCE_260212_50"/>
    <m/>
    <d v="2026-02-19T00:00:00"/>
    <s v="Sí"/>
    <s v="Equipo Técnico Territorial"/>
    <s v="No"/>
  </r>
  <r>
    <d v="2026-02-09T00:00:00"/>
    <s v="Frank Alexis Solorzano Camacho"/>
    <n v="79703448"/>
    <x v="1"/>
    <s v="https://drive.google.com/drive/folders/1fAVgGJo_edCkw4aHcqW-wkogoo04NW4Z?usp=sharing"/>
    <n v="3175029500"/>
    <x v="4"/>
    <s v="Cundinamarca"/>
    <s v="Funza"/>
    <s v="RCE_260212_50"/>
    <m/>
    <d v="2026-02-19T00:00:00"/>
    <s v="Sí"/>
    <s v="Equipo Técnico Territorial"/>
    <s v="Sí"/>
  </r>
  <r>
    <d v="2026-02-09T00:00:00"/>
    <s v="Zully Solarte Cordoba"/>
    <n v="1061689940"/>
    <x v="1"/>
    <s v="https://drive.google.com/drive/folders/1iyqugHwzMlSvMS0oI5BT4arrCqnA-B-b?usp=sharing"/>
    <n v="3116316481"/>
    <x v="3"/>
    <s v="Cauca"/>
    <e v="#REF!"/>
    <s v="RCE_260212_50"/>
    <m/>
    <d v="2026-02-19T00:00:00"/>
    <s v="Sí"/>
    <s v="Equipo Técnico Territorial"/>
    <s v="No"/>
  </r>
  <r>
    <d v="2026-02-09T00:00:00"/>
    <s v="Mary Fernanda Arevalo Robles"/>
    <n v="1088596639"/>
    <x v="1"/>
    <s v="https://drive.google.com/drive/folders/1uCtJLjUGP5j6bxcNKa2ICrypFLxXTE_-?usp=sharing"/>
    <n v="3133009656"/>
    <x v="3"/>
    <s v="Nariño"/>
    <s v="Ipiales"/>
    <s v="RCE_260212_50"/>
    <m/>
    <d v="2026-02-19T00:00:00"/>
    <s v="Sí"/>
    <s v="Equipo Técnico Territorial"/>
    <s v="No"/>
  </r>
  <r>
    <d v="2026-02-09T00:00:00"/>
    <s v="Aida Ximena Latorre Lopez"/>
    <n v="1013608492"/>
    <x v="2"/>
    <s v="https://drive.google.com/drive/folders/19-o-Rum0mwSmT9a8z0jgjBRTcByV8Bnu?usp=sharing"/>
    <n v="3132636704"/>
    <x v="0"/>
    <s v="Bogotá"/>
    <s v="Bogotá"/>
    <s v="RCE_260212_50"/>
    <m/>
    <d v="2026-02-19T00:00:00"/>
    <s v="Sí"/>
    <s v="Equipo Técnico Territorial"/>
    <s v="No"/>
  </r>
  <r>
    <d v="2026-02-09T00:00:00"/>
    <s v="JUAN SEBASTIAN MUTIZ BACCA"/>
    <n v="1085287821"/>
    <x v="1"/>
    <s v="https://drive.google.com/drive/folders/1BBwTx5cFHzB2r8c3ARTc0TZ802zYCGxd?usp=sharing"/>
    <s v="317-5144690 324-2105364"/>
    <x v="3"/>
    <s v="Nariño"/>
    <s v="San juan de pasto"/>
    <s v="RCE_260212_50"/>
    <m/>
    <d v="2026-02-19T00:00:00"/>
    <s v="Sí"/>
    <s v="Equipo Técnico Territorial"/>
    <s v="No"/>
  </r>
  <r>
    <d v="2026-02-09T00:00:00"/>
    <s v="Merly Jinneth Daza Verdugo"/>
    <n v="1031164512"/>
    <x v="1"/>
    <s v="https://drive.google.com/drive/folders/1mYE8ld2vs0x2xKUwRBn5HtNSQkGi8Ezf?usp=sharing"/>
    <n v="3118799509"/>
    <x v="0"/>
    <s v="Meta"/>
    <s v="San juan de arama"/>
    <s v="RCE_260212_50"/>
    <m/>
    <d v="2026-02-19T00:00:00"/>
    <s v="Sí"/>
    <s v="Equipo Técnico Territorial"/>
    <s v="Sí"/>
  </r>
  <r>
    <d v="2026-02-09T00:00:00"/>
    <s v="Jhon Alberto Cordoba Estacio"/>
    <n v="1087107385"/>
    <x v="1"/>
    <s v="https://drive.google.com/drive/folders/1gpBmL71PdMYFtmyHX76lrJd3SO8OlrUY?usp=sharing"/>
    <n v="3106306080"/>
    <x v="3"/>
    <s v="Nariño"/>
    <s v="Tumaco"/>
    <s v="RCE_260212_50"/>
    <m/>
    <d v="2026-02-19T00:00:00"/>
    <s v="Sí"/>
    <s v="Equipo Técnico Territorial"/>
    <s v="No"/>
  </r>
  <r>
    <d v="2026-02-09T00:00:00"/>
    <s v="María Stella Ramírez Álvarez"/>
    <n v="40433749"/>
    <x v="1"/>
    <s v="https://drive.google.com/drive/folders/1EpgJn6-OXdndrfG_SU5r5FgUKAUfUQ6v?usp=sharing"/>
    <n v="3143097811"/>
    <x v="0"/>
    <s v="Meta"/>
    <s v="Acacías"/>
    <s v="RCE_260212_50"/>
    <m/>
    <d v="2026-02-19T00:00:00"/>
    <s v="Sí"/>
    <s v="Equipo Técnico Territorial"/>
    <s v="Sí"/>
  </r>
  <r>
    <d v="2026-02-09T00:00:00"/>
    <s v="LUIS FERNANDO SALAZAR FLORIÁN"/>
    <n v="1120363625"/>
    <x v="1"/>
    <s v="https://drive.google.com/drive/folders/1LcP-vKc3z0Z0Uq0N1s3moutgZetpXddl?usp=sharing"/>
    <s v="3156545165-3192101517 Wpp"/>
    <x v="0"/>
    <s v="Guaviare"/>
    <s v="Calamar"/>
    <s v="RCE_260212_50"/>
    <m/>
    <d v="2026-02-19T00:00:00"/>
    <s v="Sí"/>
    <s v="Equipo Técnico Territorial"/>
    <s v="No"/>
  </r>
  <r>
    <d v="2026-02-09T00:00:00"/>
    <s v="MANUEL ALEJANDRO GUTIERREZ MUÑOZ"/>
    <n v="10618221167"/>
    <x v="1"/>
    <s v="https://drive.google.com/drive/folders/1ofop92PWi33jctWUKiMDz-VeM2M9latd?usp=sharing"/>
    <n v="3116901804"/>
    <x v="3"/>
    <s v="Cauca"/>
    <s v="Popayán"/>
    <s v="RCE_260212_50"/>
    <m/>
    <d v="2026-02-19T00:00:00"/>
    <s v="Sí"/>
    <s v="Equipo Técnico Territorial"/>
    <s v="Sí"/>
  </r>
  <r>
    <d v="2026-02-09T00:00:00"/>
    <s v="Karen Lambraño Gonzalez"/>
    <n v="52396181"/>
    <x v="2"/>
    <s v="https://drive.google.com/drive/folders/1rWqkjYZqU3NPfl8BzaciwuAfzaGpCaN5?usp=sharing"/>
    <n v="3151000799"/>
    <x v="0"/>
    <s v="Bogotá"/>
    <s v="Bogotá"/>
    <s v="RCE_260212_50"/>
    <m/>
    <d v="2026-02-19T00:00:00"/>
    <s v="Sí"/>
    <s v="Equipo Técnico Territorial"/>
    <s v="No"/>
  </r>
  <r>
    <d v="2026-02-09T00:00:00"/>
    <s v="Sandra Milena Zabala Martin"/>
    <n v="52773013"/>
    <x v="2"/>
    <s v="https://drive.google.com/drive/folders/1DGSI_n7fz5-GxkklGRuZmsZfHs3bdtjq?usp=sharing"/>
    <s v="301 3786087"/>
    <x v="0"/>
    <s v="Bogotá"/>
    <s v="Bogotá"/>
    <s v="RCE_260212_50"/>
    <m/>
    <d v="2026-02-19T00:00:00"/>
    <s v="Sí"/>
    <s v="Equipo Técnico Territorial"/>
    <s v="No"/>
  </r>
  <r>
    <d v="2026-02-09T00:00:00"/>
    <s v="Carol Xiomara Cruz Hernández"/>
    <n v="1018406095"/>
    <x v="2"/>
    <s v="https://drive.google.com/drive/folders/12dHLXyCREkgO8JqKBBAH1RhpiAQ0AfLk?usp=sharing"/>
    <n v="3113686948"/>
    <x v="0"/>
    <s v="Bogotá"/>
    <s v="Bogotá"/>
    <s v="RCE_260212_50"/>
    <m/>
    <d v="2026-02-19T00:00:00"/>
    <s v="Sí"/>
    <s v="Equipo Técnico Territorial"/>
    <s v="No"/>
  </r>
  <r>
    <d v="2026-02-09T00:00:00"/>
    <s v="MAGDA TAFUR SERRANA"/>
    <n v="52485015"/>
    <x v="2"/>
    <s v="https://drive.google.com/drive/folders/1oAEvo64BAKbMB6n1pyHo8W3jTVQ9sIXo?usp=sharing"/>
    <s v="320 889 84 11"/>
    <x v="0"/>
    <s v="Bogotá"/>
    <s v="Bogotá"/>
    <s v="RCE_260212_50"/>
    <m/>
    <d v="2026-02-19T00:00:00"/>
    <s v="Sí"/>
    <s v="Equipo Técnico Territorial"/>
    <s v="No"/>
  </r>
  <r>
    <d v="2026-02-09T00:00:00"/>
    <s v="Yorely Andrea Daza Imbachi"/>
    <n v="1085294943"/>
    <x v="1"/>
    <s v="https://drive.google.com/drive/folders/1MLBGEpBo8TP2_7S7uXPA-an3JY8dDCuB?usp=sharing"/>
    <n v="3145082459"/>
    <x v="3"/>
    <s v="Nariño"/>
    <s v="Policarpa"/>
    <s v="RCE_260213_53"/>
    <m/>
    <m/>
    <s v="Sí"/>
    <s v="Equipo Técnico Territorial"/>
    <s v="No"/>
  </r>
  <r>
    <d v="2026-02-09T00:00:00"/>
    <s v="Maria Leney Patiño Zapata"/>
    <n v="43906220"/>
    <x v="1"/>
    <s v="https://drive.google.com/drive/folders/1utQcc0BjpsWM1eXi8j04Pl-rZlfbF4tA?usp=sharing"/>
    <s v="3128734920 - 3024074152"/>
    <x v="3"/>
    <s v="Antioquia"/>
    <s v="Santa rosa de osos"/>
    <s v="RCE_260213_53"/>
    <m/>
    <m/>
    <s v="Sí"/>
    <s v="Equipo Técnico Territorial"/>
    <s v="Sí"/>
  </r>
  <r>
    <s v="28/01/2026_x000a_13/02/2026"/>
    <s v="FELIX ARMANDO CELIS VALENCIA"/>
    <n v="80166072"/>
    <x v="2"/>
    <s v="https://drive.google.com/drive/folders/1gBm-IF_1bBMdkI6SNl2bbHvG86d8K1yX?usp=sharing"/>
    <n v="3003898501"/>
    <x v="0"/>
    <s v="Bogotá"/>
    <s v="Bogotá"/>
    <s v="RCE_260217_55"/>
    <s v="RCE_260131_36"/>
    <d v="2026-02-09T00:00:00"/>
    <s v="Sí"/>
    <s v="Equipo Técnico Territorial"/>
    <s v="No"/>
  </r>
  <r>
    <s v="3/02/2026_x000a_13/02/2026"/>
    <s v="Maria Jose Donado Gutierrez"/>
    <n v="1042456346"/>
    <x v="2"/>
    <s v="https://drive.google.com/drive/folders/1GHBUURgt2KdObDe3uq-IQnMEmQXIE1m8?usp=sharing"/>
    <n v="3186101124"/>
    <x v="2"/>
    <s v="Atlántico"/>
    <e v="#REF!"/>
    <s v="RCE_260217_55"/>
    <s v="RCE_260209_44"/>
    <d v="2026-02-10T00:00:00"/>
    <s v="Sí"/>
    <s v="Equipo Técnico Territorial"/>
    <s v="No"/>
  </r>
  <r>
    <d v="2026-02-13T00:00:00"/>
    <s v="CARMEN LETICIA ESTRADA MESTRE"/>
    <n v="49759629"/>
    <x v="2"/>
    <s v="https://drive.google.com/drive/folders/1zdpmqAXsc9gUUtr7Wvovs9iHRqLpbJdX?usp=sharing"/>
    <n v="3106104263"/>
    <x v="2"/>
    <s v="Cesar"/>
    <s v="Valledupar"/>
    <s v="RCE_260217_55"/>
    <m/>
    <d v="2026-02-23T00:00:00"/>
    <s v="Sí"/>
    <s v="Equipo Técnico Territorial"/>
    <s v="No"/>
  </r>
  <r>
    <d v="2026-02-13T00:00:00"/>
    <s v="MARGELYS SERPA URIETA"/>
    <n v="26918987"/>
    <x v="2"/>
    <s v="https://drive.google.com/drive/folders/1z6J-vbH1ZE5eMsBVJ60-F6jFjJKNbHbj?usp=sharing"/>
    <n v="3205265250"/>
    <x v="2"/>
    <s v="Cesar"/>
    <e v="#REF!"/>
    <s v="RCE_260217_55"/>
    <m/>
    <d v="2026-02-23T00:00:00"/>
    <s v="Sí"/>
    <s v="Equipo Técnico Territorial"/>
    <s v="No"/>
  </r>
  <r>
    <d v="2026-02-13T00:00:00"/>
    <s v="Juan Andrés LagosTorres"/>
    <n v="11524339"/>
    <x v="2"/>
    <s v="https://drive.google.com/drive/folders/19qexJhKJ-GsFk7lh1b7dLIA_a3Wg5k2f?usp=sharing"/>
    <n v="3204118185"/>
    <x v="2"/>
    <s v="Cesar"/>
    <e v="#REF!"/>
    <s v="RCE_260217_55"/>
    <m/>
    <d v="2026-02-23T00:00:00"/>
    <s v="Sí"/>
    <s v="Equipo Técnico Territorial"/>
    <s v="No"/>
  </r>
  <r>
    <d v="2026-02-13T00:00:00"/>
    <s v="DELIA INES BARRIOS CHARRIS"/>
    <n v="49697449"/>
    <x v="2"/>
    <s v="https://drive.google.com/drive/folders/1tv4YrQGgCxVXHmMr0aiGWesWYZJgdbes?usp=sharing"/>
    <s v="3006593886 – 3156221830"/>
    <x v="1"/>
    <s v="Cesar"/>
    <s v="Agustín Codazzi"/>
    <s v="RCE_260217_55"/>
    <m/>
    <d v="2026-02-23T00:00:00"/>
    <s v="Sí"/>
    <s v="Equipo Técnico Territorial"/>
    <s v="No"/>
  </r>
  <r>
    <d v="2026-02-13T00:00:00"/>
    <s v="GUSTAVO ALBERTO QUINTANILLA TORRADO"/>
    <n v="5470135"/>
    <x v="2"/>
    <s v="https://drive.google.com/drive/folders/1CqG5XMOVPmqJ69mzapLAy_VrYRMp5Cuj?usp=sharing"/>
    <n v="3153904870"/>
    <x v="1"/>
    <s v="Norte de Santander"/>
    <e v="#REF!"/>
    <s v="RCE_260217_55"/>
    <m/>
    <d v="2026-02-23T00:00:00"/>
    <s v="Sí"/>
    <s v="Equipo Técnico Territorial"/>
    <s v="No"/>
  </r>
  <r>
    <d v="2026-02-13T00:00:00"/>
    <s v="GLADYS GUERRERO GONZALEZ"/>
    <n v="63511350"/>
    <x v="2"/>
    <s v="https://drive.google.com/drive/folders/1pnaJ_M8v6HeaCtSxzaKtO4qc1ctdULyn?usp=sharing"/>
    <n v="3183766750"/>
    <x v="3"/>
    <s v="Santander"/>
    <s v="Bucaramanga"/>
    <s v="RCE_260217_55"/>
    <m/>
    <m/>
    <s v="Sí"/>
    <s v="Equipo Técnico Territorial"/>
    <s v="No"/>
  </r>
  <r>
    <d v="2026-02-13T00:00:00"/>
    <s v="NAYELY PALACIOS MURILLO"/>
    <n v="1131044558"/>
    <x v="2"/>
    <s v="https://drive.google.com/drive/folders/1_ZgTwOeVlRZckAYORKProIowHOMsR9BM?usp=sharing"/>
    <n v="3105382580"/>
    <x v="3"/>
    <s v="Chocó"/>
    <s v="Certegui"/>
    <s v="RCE_260217_55"/>
    <m/>
    <d v="2026-02-23T00:00:00"/>
    <s v="Sí"/>
    <s v="Equipo Técnico Territorial"/>
    <s v="No"/>
  </r>
  <r>
    <d v="2026-02-13T00:00:00"/>
    <s v="Hugo Hernan Baez Galeano"/>
    <n v="1085244085"/>
    <x v="2"/>
    <s v="https://drive.google.com/drive/folders/1JoVzGobB_AJd-N3jrRJ_uQGp9d3onISZ?usp=sharing"/>
    <n v="3017218919"/>
    <x v="3"/>
    <s v="Nariño"/>
    <e v="#REF!"/>
    <s v="RCE_260217_55"/>
    <m/>
    <d v="2026-02-23T00:00:00"/>
    <s v="Sí"/>
    <s v="Equipo Técnico Territorial"/>
    <s v="No"/>
  </r>
  <r>
    <d v="2026-02-13T00:00:00"/>
    <s v="Fabianny Romaña Marmolejo"/>
    <n v="35898964"/>
    <x v="2"/>
    <s v="https://drive.google.com/drive/folders/18BHGP3HtCZqhxcPfXJ5HtlmDBAwVbhli?usp=sharing"/>
    <n v="3117783700"/>
    <x v="3"/>
    <s v="Chocó"/>
    <s v="Quibdó"/>
    <s v="RCE_260217_55"/>
    <m/>
    <d v="2026-02-23T00:00:00"/>
    <s v="Sí"/>
    <s v="Equipo Técnico Territorial"/>
    <s v="No"/>
  </r>
  <r>
    <d v="2026-02-13T00:00:00"/>
    <s v="Paola Andrea Endo Urrea"/>
    <n v="1015475003"/>
    <x v="2"/>
    <s v="https://drive.google.com/drive/folders/1ifqhyAj2DNc-FJvAg_JAg-GW5xnX5EjU?usp=sharing"/>
    <s v="320 9430213"/>
    <x v="4"/>
    <s v="Bogotá"/>
    <s v="Bogotá"/>
    <s v="RCE_260217_55"/>
    <m/>
    <d v="2026-02-23T00:00:00"/>
    <s v="Sí"/>
    <s v="Equipo Técnico Territorial"/>
    <s v="No"/>
  </r>
  <r>
    <d v="2026-02-13T00:00:00"/>
    <s v="CINDY YULIETH BUITRAGO PENAGOS"/>
    <n v="1121879132"/>
    <x v="2"/>
    <s v="https://drive.google.com/drive/folders/1rx7_5gKa9436MBsJceRs2XJG5uYCgikD?usp=sharing"/>
    <n v="3105003049"/>
    <x v="0"/>
    <s v="Meta"/>
    <s v="Granada"/>
    <s v="RCE_260217_55"/>
    <m/>
    <d v="2026-02-23T00:00:00"/>
    <s v="Sí"/>
    <s v="Equipo Técnico Territorial"/>
    <s v="No"/>
  </r>
  <r>
    <d v="2026-02-13T00:00:00"/>
    <s v="JOHN ALEXANDER ROJAS ROBAYO"/>
    <n v="1016015211"/>
    <x v="2"/>
    <s v="https://drive.google.com/drive/folders/14ezdklVmv2YcuE2_OsK8V2qXiHaKz9Ip?usp=sharing"/>
    <n v="3042130653"/>
    <x v="0"/>
    <s v="Bogotá"/>
    <s v="Bogotá"/>
    <s v="RCE_260217_55"/>
    <m/>
    <d v="2026-02-23T00:00:00"/>
    <s v="Sí"/>
    <s v="Equipo Técnico Territorial"/>
    <s v="No"/>
  </r>
  <r>
    <d v="2026-02-13T00:00:00"/>
    <s v="KARINA OVALLE MUEGUES"/>
    <n v="56096742"/>
    <x v="2"/>
    <s v="https://drive.google.com/drive/folders/1EqVuSVrQ8kHn3pBeu_um2aEBWukgwsUD?usp=sharing"/>
    <n v="3217761167"/>
    <x v="2"/>
    <s v="Cesar"/>
    <s v="Valledupar"/>
    <s v="RCE_260217_55"/>
    <m/>
    <m/>
    <s v="Sí"/>
    <s v="Equipo Técnico Territorial"/>
    <s v="No"/>
  </r>
  <r>
    <d v="2026-02-13T00:00:00"/>
    <s v="LINA MARCELA ROSERO MORALES"/>
    <n v="43862335"/>
    <x v="1"/>
    <s v="https://drive.google.com/drive/folders/1kBXjnp-SYRy7Y79MIt9kGEa5Y6X-w9UU?usp=sharing"/>
    <n v="3113209415"/>
    <x v="3"/>
    <s v="Antioquia"/>
    <s v="Medellín"/>
    <s v="RCE_260217_55"/>
    <m/>
    <d v="2026-02-23T00:00:00"/>
    <s v="Sí"/>
    <s v="Equipo Técnico Territorial"/>
    <s v="No"/>
  </r>
  <r>
    <d v="2026-02-13T00:00:00"/>
    <s v="NICOLÁS EDUARDO ALVAREZ OSORIO"/>
    <n v="70782693"/>
    <x v="1"/>
    <s v="https://drive.google.com/drive/folders/1ZPs2fF1gllpRRToLqGgnM6lsRGYNDD0J?usp=sharing"/>
    <s v="311 340 60 81"/>
    <x v="3"/>
    <s v="Antioquia"/>
    <s v="Medellín"/>
    <s v="RCE_260217_55"/>
    <m/>
    <d v="2026-02-23T00:00:00"/>
    <s v="Sí"/>
    <s v="Equipo Técnico Territorial"/>
    <s v="No"/>
  </r>
  <r>
    <d v="2026-02-13T00:00:00"/>
    <s v="Juan Daniel Tapias Garcia"/>
    <n v="1193538073"/>
    <x v="5"/>
    <s v="https://drive.google.com/drive/folders/14f4_9VT2AWtSWdR8ekXmdM5-81T6OyR5?usp=sharing"/>
    <n v="3177694430"/>
    <x v="1"/>
    <s v="Santander"/>
    <s v="Bucaramanga"/>
    <s v="RCE_260217_55"/>
    <m/>
    <d v="2026-02-23T00:00:00"/>
    <s v="Sí"/>
    <s v="Equipo Nacional"/>
    <s v="Sí"/>
  </r>
  <r>
    <d v="2026-02-20T00:00:00"/>
    <s v="MARISOL LUGO VALENCIA"/>
    <n v="1087127860"/>
    <x v="1"/>
    <s v="https://drive.google.com/drive/folders/1U9ND7_v41jjJHcdLRzPu6_bqUaxY-ITG?usp=sharing"/>
    <n v="3218463385"/>
    <x v="3"/>
    <s v="Nariño"/>
    <s v="San Andrés de Tumaco"/>
    <s v="RCE_260220_57"/>
    <m/>
    <d v="2026-02-23T00:00:00"/>
    <s v="Sí"/>
    <s v="Equipo Técnico Territorial"/>
    <s v="No"/>
  </r>
  <r>
    <d v="2026-02-20T00:00:00"/>
    <s v="Jessica Alexandra Motta Alvarez"/>
    <n v="1075309991"/>
    <x v="1"/>
    <s v="https://drive.google.com/drive/folders/1I_OZtSjV1eshYX-HqlHUNdu0AgBJFV4I?usp=sharing"/>
    <n v="3214688729"/>
    <x v="0"/>
    <s v="Huila"/>
    <s v="Neiva"/>
    <s v="RCE_260220_57"/>
    <m/>
    <d v="2026-02-23T00:00:00"/>
    <s v="Sí"/>
    <s v="Equipo Técnico Territorial"/>
    <s v="No"/>
  </r>
  <r>
    <d v="2026-02-20T00:00:00"/>
    <s v="Diana Patricia Hoyos Sanchez"/>
    <n v="31428969"/>
    <x v="1"/>
    <s v="https://drive.google.com/drive/folders/1QdjLfkKD2ZpQesknfqeqD3VrIl-iIB3A?usp=sharing"/>
    <n v="3113472192"/>
    <x v="3"/>
    <s v="Valle del cauca"/>
    <s v="Cartago"/>
    <s v="RCE_260220_57"/>
    <m/>
    <d v="2026-02-23T00:00:00"/>
    <s v="Sí"/>
    <s v="Equipo Técnico Territorial"/>
    <s v="No"/>
  </r>
  <r>
    <d v="2026-02-20T00:00:00"/>
    <s v="Dayron Ruiz Mena"/>
    <n v="80849934"/>
    <x v="1"/>
    <s v="https://drive.google.com/drive/folders/1LigPn0Oa3TgAnP7KacdwM27VcDFtFkhF?usp=sharing"/>
    <n v="3008138523"/>
    <x v="0"/>
    <s v="Guaviare"/>
    <s v="San José del Guaviare"/>
    <s v="RCE_260220_57"/>
    <m/>
    <d v="2026-02-23T00:00:00"/>
    <s v="Sí"/>
    <s v="Equipo Técnico Territorial"/>
    <s v="Sí"/>
  </r>
  <r>
    <d v="2026-02-20T00:00:00"/>
    <s v="Juan Esteban Salcedo Moreno"/>
    <n v="1094942032"/>
    <x v="1"/>
    <s v="https://drive.google.com/drive/folders/14DhZ8PeYVsBG1gzQ4CxEs8-CHlVsBkoF?usp=sharing"/>
    <n v="3165838881"/>
    <x v="4"/>
    <s v="Quindio"/>
    <e v="#REF!"/>
    <s v="RCE_260220_57"/>
    <m/>
    <d v="2026-02-23T00:00:00"/>
    <s v="Sí"/>
    <s v="Equipo Técnico Territorial"/>
    <s v="No"/>
  </r>
  <r>
    <d v="2026-02-20T00:00:00"/>
    <s v="Victoria Eugenia Mendez Velazquez"/>
    <n v="1075240144"/>
    <x v="1"/>
    <s v="https://drive.google.com/drive/folders/1Vc78QxblSjMWlq7Thq-6fgu3_JVXT5_-?usp=sharing"/>
    <n v="3138331202"/>
    <x v="0"/>
    <s v="Huila"/>
    <s v="Neiva"/>
    <s v="RCE_260220_57"/>
    <m/>
    <d v="2026-02-23T00:00:00"/>
    <s v="Sí"/>
    <s v="Equipo Técnico Territorial"/>
    <s v="No"/>
  </r>
  <r>
    <d v="2026-02-20T00:00:00"/>
    <s v="Cristian Ronney Reyes Morales"/>
    <n v="1075599485"/>
    <x v="1"/>
    <s v="https://drive.google.com/drive/folders/1biH16cmcJwfZBmQPIXJcc2oPUbwZ9atf?usp=sharing"/>
    <n v="3142376220"/>
    <x v="0"/>
    <s v="Huila"/>
    <s v="Neiva"/>
    <s v="RCE_260220_57"/>
    <m/>
    <d v="2026-02-23T00:00:00"/>
    <s v="Sí"/>
    <s v="Equipo Técnico Territorial"/>
    <s v="No"/>
  </r>
  <r>
    <d v="2026-02-20T00:00:00"/>
    <s v="MERCEDES YOMAIRA ORTEGA VILLOTA"/>
    <n v="27227914"/>
    <x v="1"/>
    <s v="https://drive.google.com/drive/folders/1CH97Wac2N6RZhWPRKqnxWF6TQ0lAMTYc?usp=sharing"/>
    <n v="3166279679"/>
    <x v="3"/>
    <s v="Nariño"/>
    <s v="Ipiales"/>
    <s v="RCE_260220_57"/>
    <m/>
    <d v="2026-02-23T00:00:00"/>
    <s v="Sí"/>
    <s v="Equipo Técnico Territorial"/>
    <s v="No"/>
  </r>
  <r>
    <d v="2026-02-20T00:00:00"/>
    <s v="JOHN MARIO PEÑA OTERO"/>
    <n v="83229412"/>
    <x v="1"/>
    <s v="https://drive.google.com/drive/folders/1lY83-irk2MX0xsCubxkZxyroxje4brWQ?usp=sharing"/>
    <n v="3022168687"/>
    <x v="0"/>
    <s v="Huila"/>
    <s v="Rivera"/>
    <s v="RCE_260220_57"/>
    <m/>
    <d v="2026-02-23T00:00:00"/>
    <s v="Sí"/>
    <s v="Equipo Técnico Territorial"/>
    <s v="No"/>
  </r>
  <r>
    <d v="2026-02-20T00:00:00"/>
    <s v="DANIEL MAURICIO CASTRO CABRERA"/>
    <n v="1079508259"/>
    <x v="1"/>
    <s v="https://drive.google.com/drive/folders/1TqKowxQAaxjApmX965D47WX1QxY-v2C6?usp=sharing"/>
    <n v="3229438477"/>
    <x v="0"/>
    <s v="Huila"/>
    <s v="Neiva"/>
    <s v="RCE_260220_57"/>
    <m/>
    <d v="2026-02-23T00:00:00"/>
    <s v="Sí"/>
    <s v="Equipo Técnico Territorial"/>
    <s v="No"/>
  </r>
  <r>
    <d v="2026-02-20T00:00:00"/>
    <s v="Maria Lucia Silva Varona"/>
    <n v="25285087"/>
    <x v="1"/>
    <s v="https://drive.google.com/drive/folders/1mkkBi20szbV_YrzmLYuMB1Va2VrwInGm?usp=sharing"/>
    <n v="3122079485"/>
    <x v="3"/>
    <s v="Cauca"/>
    <s v="Popayán"/>
    <s v="RCE_260220_57"/>
    <m/>
    <m/>
    <s v="Sí"/>
    <s v="Equipo Técnico Territorial"/>
    <s v="No"/>
  </r>
  <r>
    <d v="2026-02-20T00:00:00"/>
    <s v="Luis Alberto Trejos Flórez"/>
    <n v="1053771238"/>
    <x v="1"/>
    <s v="https://drive.google.com/drive/folders/1YaVDVmEA5N68SBd8pF22BVGKxxYI8WL6?usp=sharing"/>
    <n v="3108025591"/>
    <x v="3"/>
    <s v="Putumayo"/>
    <s v="Puerto Asis"/>
    <s v="RCE_260220_57"/>
    <m/>
    <d v="2026-02-23T00:00:00"/>
    <s v="Sí"/>
    <s v="Equipo Técnico Territorial"/>
    <s v="No"/>
  </r>
  <r>
    <d v="2026-02-20T00:00:00"/>
    <s v="Luisa Fernanda Londoño Granada"/>
    <n v="1053788345"/>
    <x v="1"/>
    <s v="https://drive.google.com/drive/folders/16b8aXQQkBv3xtT8G-K_Ij8C9RM12yAux?usp=sharing"/>
    <n v="3113219834"/>
    <x v="0"/>
    <s v="Huila"/>
    <s v="Pitalito"/>
    <s v="RCE_260220_57"/>
    <m/>
    <d v="2026-02-23T00:00:00"/>
    <s v="Sí"/>
    <s v="Equipo Técnico Territorial"/>
    <s v="No"/>
  </r>
  <r>
    <d v="2026-02-20T00:00:00"/>
    <s v="LUIS FERNANDO CALDERON ALVARADO"/>
    <n v="7688678"/>
    <x v="1"/>
    <s v="https://drive.google.com/drive/folders/1gwM7QVcV97ZHxepTPahQ8VmK0EAO5bp0?usp=sharing"/>
    <s v="310311 5927"/>
    <x v="0"/>
    <s v="Huila"/>
    <s v="Neiva"/>
    <s v="RCE_260220_57"/>
    <m/>
    <d v="2026-02-23T00:00:00"/>
    <s v="Sí"/>
    <s v="Equipo Técnico Territorial"/>
    <s v="No"/>
  </r>
  <r>
    <d v="2026-02-20T00:00:00"/>
    <s v="Ariel Enrrique Herrera hurtado"/>
    <n v="76308056"/>
    <x v="1"/>
    <s v="https://drive.google.com/drive/folders/1jhx8IyltMXVqzrDdXMbBTF09pB_Hvmez?usp=sharing"/>
    <s v="3124926640 - 3154823801"/>
    <x v="3"/>
    <s v="Cauca"/>
    <e v="#REF!"/>
    <s v="RCE_260220_57"/>
    <m/>
    <d v="2026-02-23T00:00:00"/>
    <s v="Sí"/>
    <s v="Equipo Técnico Territorial"/>
    <s v="No"/>
  </r>
  <r>
    <d v="2026-02-20T00:00:00"/>
    <s v="Carlos Fernando Vergara Bastidas"/>
    <n v="1062281470"/>
    <x v="1"/>
    <s v="https://drive.google.com/drive/folders/1S-9oR4qQHZQu9KT2ztAQGM21Bn3Ymcfm?usp=sharing"/>
    <s v="3108717432 - 3203782417"/>
    <x v="3"/>
    <s v="Cauca"/>
    <s v="Timbío"/>
    <s v="RCE_260220_57"/>
    <m/>
    <d v="2026-02-23T00:00:00"/>
    <s v="Sí"/>
    <s v="Equipo Técnico Territorial"/>
    <s v="No"/>
  </r>
  <r>
    <d v="2026-02-20T00:00:00"/>
    <s v="Johny Cuaspud huertas"/>
    <n v="98344529"/>
    <x v="1"/>
    <s v="https://drive.google.com/drive/folders/1AT0FPE7Keq5aow-NgC2vGd_ohdpBFQ41?usp=sharing"/>
    <n v="3167593616"/>
    <x v="3"/>
    <s v="Nariño"/>
    <s v="Puerres"/>
    <s v="RCE_260220_57"/>
    <m/>
    <d v="2026-02-23T00:00:00"/>
    <s v="Sí"/>
    <s v="Equipo Técnico Territorial"/>
    <s v="No"/>
  </r>
  <r>
    <d v="2026-02-13T00:00:00"/>
    <s v="Carol Johanna Monroy Cardenas"/>
    <n v="26433136"/>
    <x v="1"/>
    <s v="https://drive.google.com/drive/folders/1j1ahNT8LZiMSYWo0QIMRBxvut4T3KJrm?usp=sharing"/>
    <s v="3102034100 - 3018367653"/>
    <x v="0"/>
    <s v="Huila"/>
    <s v="Neiva"/>
    <s v="RCE_260220_57"/>
    <m/>
    <d v="2026-02-23T00:00:00"/>
    <s v="Sí"/>
    <s v="Equipo Técnico Territorial"/>
    <s v="No"/>
  </r>
  <r>
    <d v="2026-02-20T00:00:00"/>
    <s v="Diana Santacruz Garcia"/>
    <n v="1085282057"/>
    <x v="1"/>
    <s v="https://drive.google.com/drive/folders/1F5Vct5yDnz0FLqYzQlmq7s8katg8inSo?usp=sharing"/>
    <n v="3116998830"/>
    <x v="3"/>
    <s v="Nariño"/>
    <s v="Pasto"/>
    <s v="RCE_260220_57"/>
    <m/>
    <d v="2026-02-23T00:00:00"/>
    <s v="Sí"/>
    <s v="Equipo Técnico Territorial"/>
    <s v="No"/>
  </r>
  <r>
    <d v="2026-02-20T00:00:00"/>
    <s v="Diana Marcela Zambrano Valenzuela"/>
    <n v="1075291380"/>
    <x v="1"/>
    <s v="https://drive.google.com/drive/folders/1DEwO21oqDegXo6v3V0cdhQWamOBN17Hn?usp=sharing"/>
    <n v="3143439450"/>
    <x v="0"/>
    <s v="Huila"/>
    <e v="#REF!"/>
    <s v="RCE_260220_57"/>
    <m/>
    <d v="2026-02-23T00:00:00"/>
    <s v="Sí"/>
    <s v="Equipo Técnico Territorial"/>
    <s v="No"/>
  </r>
  <r>
    <d v="2026-02-20T00:00:00"/>
    <s v="Diego Alfonso Polania Suarez"/>
    <n v="7684683"/>
    <x v="1"/>
    <s v="https://drive.google.com/drive/folders/1rTX7qVFVBRnr2Q-VQnX9JFR_COmfgTXU?usp=sharing"/>
    <n v="3132251215"/>
    <x v="0"/>
    <s v="Huila"/>
    <s v="Neiva"/>
    <s v="RCE_260220_57"/>
    <m/>
    <d v="2026-02-23T00:00:00"/>
    <s v="Sí"/>
    <s v="Equipo Técnico Territorial"/>
    <s v="No"/>
  </r>
  <r>
    <d v="2026-02-20T00:00:00"/>
    <s v="MARTHA NURY TAPIA CANO"/>
    <n v="55167434"/>
    <x v="1"/>
    <s v="https://drive.google.com/drive/folders/17tT4pmz0K_ADP4gqT_GQiAHi8NlHkjbP?usp=sharing"/>
    <s v="314-4739311"/>
    <x v="3"/>
    <s v="Huila"/>
    <s v="Neiva"/>
    <s v="RCE_260220_57"/>
    <m/>
    <d v="2026-02-23T00:00:00"/>
    <s v="Sí"/>
    <s v="Equipo Técnico Territorial"/>
    <s v="No"/>
  </r>
  <r>
    <d v="2026-02-20T00:00:00"/>
    <s v="Sandra Milena Rojas Segura"/>
    <n v="26460672"/>
    <x v="1"/>
    <s v="https://drive.google.com/drive/folders/1-upPSjqyixH8h-HmbMnukrRg_8D_esw0?usp=sharing"/>
    <n v="3157209469"/>
    <x v="0"/>
    <s v="Huila"/>
    <s v="Neiva"/>
    <s v="RCE_260220_57"/>
    <m/>
    <m/>
    <s v="Sí"/>
    <s v="Equipo Técnico Territorial"/>
    <s v="No"/>
  </r>
  <r>
    <d v="2026-02-20T00:00:00"/>
    <s v="Leidy Johanna Velasquez Cordoba"/>
    <n v="26515893"/>
    <x v="1"/>
    <s v="https://drive.google.com/drive/folders/1Kb2ggjEZ4PoolqR-Ay_AHlZMRLSwlFBh?usp=sharing"/>
    <n v="3184647995"/>
    <x v="0"/>
    <s v="Huila"/>
    <s v="Íquira"/>
    <s v="RCE_260220_57"/>
    <m/>
    <d v="2026-02-23T00:00:00"/>
    <s v="Sí"/>
    <s v="Equipo Técnico Territorial"/>
    <s v="No"/>
  </r>
  <r>
    <d v="2026-02-20T00:00:00"/>
    <s v="STIVEN JULIAN MUÑOZ PALMA"/>
    <n v="1087120446"/>
    <x v="1"/>
    <s v="https://drive.google.com/drive/folders/1T5BGKuTzCUX8QU5F8hfR_DDUmbogN1By?usp=sharing"/>
    <n v="3163748708"/>
    <x v="3"/>
    <s v="Nariño"/>
    <s v="Tumaco"/>
    <s v="RCE_260220_57"/>
    <m/>
    <d v="2026-02-23T00:00:00"/>
    <s v="Sí"/>
    <s v="Equipo Técnico Territorial"/>
    <s v="No"/>
  </r>
  <r>
    <d v="2026-02-20T00:00:00"/>
    <s v="Alex Nelson Trujillo Pinto"/>
    <n v="7694230"/>
    <x v="1"/>
    <s v="https://drive.google.com/drive/folders/1SUTXeGUahWQebcSvArYrL4A1POQWAtDL?usp=sharing"/>
    <n v="3158762056"/>
    <x v="0"/>
    <s v="Huila"/>
    <s v="Rivera"/>
    <s v="RCE_260220_57"/>
    <m/>
    <d v="2026-02-23T00:00:00"/>
    <s v="Sí"/>
    <s v="Equipo Técnico Territorial"/>
    <s v="Sí"/>
  </r>
  <r>
    <d v="2026-02-20T00:00:00"/>
    <s v="Hector Julio Serna Valencia"/>
    <n v="10302261"/>
    <x v="1"/>
    <s v="https://drive.google.com/drive/folders/1oF9kX3kkg9p1OwP7SSR-Ga-XMD5kEJvN?usp=sharing"/>
    <n v="3207473302"/>
    <x v="3"/>
    <s v="Cauca"/>
    <s v="Morales"/>
    <s v="RCE_260220_57"/>
    <m/>
    <d v="2026-02-23T00:00:00"/>
    <s v="Sí"/>
    <s v="Equipo Técnico Territorial"/>
    <s v="No"/>
  </r>
  <r>
    <d v="2026-02-20T00:00:00"/>
    <s v="LAURA MARCELA OSORIO CARDOSO"/>
    <n v="65782244"/>
    <x v="8"/>
    <s v="https://drive.google.com/drive/folders/18WPuwpkb8xLyUlzp6o7dFhye1AOLCgMp?usp=sharing"/>
    <n v="3202112669"/>
    <x v="4"/>
    <s v="Tolima"/>
    <s v="Ibagué"/>
    <s v="RCE_260220_57"/>
    <m/>
    <d v="2026-02-23T00:00:00"/>
    <s v="Sí"/>
    <s v="Equipo Nacional"/>
    <s v="No"/>
  </r>
  <r>
    <d v="2026-02-20T00:00:00"/>
    <s v="QUIRIA REGINA POMARICO CERDA"/>
    <n v="39097283"/>
    <x v="7"/>
    <s v="https://drive.google.com/drive/folders/17DKs52ndNkQYdHbyAphO1s41bUr5bTo0?usp=sharing"/>
    <n v="3003620253"/>
    <x v="2"/>
    <s v="Magdalena"/>
    <s v="Plato"/>
    <s v="RCE_260220_57"/>
    <m/>
    <d v="2026-02-23T00:00:00"/>
    <s v="Sí"/>
    <s v="Equipo Nacional"/>
    <s v="No"/>
  </r>
  <r>
    <d v="2026-02-20T00:00:00"/>
    <s v="Erwin Julián Carrero Bermúdez "/>
    <n v="1098822161"/>
    <x v="5"/>
    <s v="https://drive.google.com/drive/folders/1oG3WC1IWi8H0_F_Np8xT8oQ-Mumut5cL?usp=sharing"/>
    <n v="7441545"/>
    <x v="4"/>
    <s v="Bogotá"/>
    <s v="Bogotá"/>
    <s v="RCE_260224_63"/>
    <m/>
    <m/>
    <s v="Sí"/>
    <s v="Equipo Nacional"/>
    <s v="Sí"/>
  </r>
  <r>
    <d v="2026-02-20T00:00:00"/>
    <s v="María Del Socorro Pérez Díaz "/>
    <n v="45482446"/>
    <x v="1"/>
    <s v="https://drive.google.com/drive/folders/1nlJIvAWqUdwp8Rc8IGWCd0IecKZr9mz0?usp=sharing"/>
    <n v="3156289527"/>
    <x v="2"/>
    <s v="Cartagena de Indias"/>
    <s v="Cartagena de Indias"/>
    <s v="RCE_260224_63"/>
    <m/>
    <m/>
    <s v="Sí"/>
    <s v="Equipo Técnico Territorial"/>
    <s v="No"/>
  </r>
  <r>
    <d v="2026-02-20T00:00:00"/>
    <s v="Cristian Vargas Roa "/>
    <n v="1121897022"/>
    <x v="1"/>
    <s v="https://drive.google.com/drive/folders/13OfXX_Tu69dPsO88qDbqfQ4vgm94Jzf2?usp=sharing"/>
    <n v="3163501219"/>
    <x v="0"/>
    <s v="Guaviare"/>
    <s v="San Jose del Guaviare"/>
    <s v="RCE_260224_63"/>
    <m/>
    <m/>
    <s v="Sí"/>
    <s v="Equipo Técnico Territorial"/>
    <s v="No"/>
  </r>
  <r>
    <d v="2026-02-20T00:00:00"/>
    <s v="Carlos Hernan Celis Floriano "/>
    <n v="12264151"/>
    <x v="1"/>
    <s v="https://drive.google.com/drive/folders/1EDAC0yGix88u7Byv-kCeGmcI4hd2pjI8?usp=sharing"/>
    <n v="3102466915"/>
    <x v="0"/>
    <s v="Huila"/>
    <s v="Pitalito"/>
    <s v="RCE_260224_63"/>
    <m/>
    <m/>
    <s v="Sí"/>
    <s v="Equipo Técnico Territorial"/>
    <s v="No"/>
  </r>
  <r>
    <d v="2026-02-20T00:00:00"/>
    <s v="Rodrigo Alfonso Imues Orozco "/>
    <n v="13543356"/>
    <x v="1"/>
    <s v="https://drive.google.com/drive/folders/13VaJECnr5OjOhj8OZQ4XWlszeWqX3tfL?usp=sharing"/>
    <n v="3146157671"/>
    <x v="3"/>
    <s v="Putumayo"/>
    <s v="Orito"/>
    <s v="RCE_260224_63"/>
    <m/>
    <m/>
    <s v="Sí"/>
    <s v="Equipo Técnico Territorial"/>
    <s v="No"/>
  </r>
  <r>
    <d v="2026-02-20T00:00:00"/>
    <s v="Diana Marcela Marinez Velandia "/>
    <n v="1084866891"/>
    <x v="1"/>
    <s v="https://drive.google.com/drive/folders/1qwpw5qONbVF-n3R0qkNvMgCyKb7sqZVj?usp=sharing"/>
    <n v="3228147277"/>
    <x v="0"/>
    <s v="Huila"/>
    <e v="#REF!"/>
    <s v="RCE_260224_63"/>
    <m/>
    <m/>
    <s v="Sí"/>
    <s v="Equipo Técnico Territorial"/>
    <s v="No"/>
  </r>
  <r>
    <d v="2026-02-20T00:00:00"/>
    <s v="Héctor Alexander Solano González "/>
    <n v="97611163"/>
    <x v="1"/>
    <s v="https://drive.google.com/drive/folders/17xuuGkbS_HrmMqXa0nV-CskzyAkRHz_-?usp=sharing"/>
    <n v="3175474361"/>
    <x v="0"/>
    <s v="Guaviare"/>
    <s v="San Jose del Guaviare"/>
    <s v="RCE_260224_63"/>
    <m/>
    <m/>
    <s v="Sí"/>
    <s v="Equipo Técnico Territorial"/>
    <s v="Sí"/>
  </r>
  <r>
    <d v="2026-02-20T00:00:00"/>
    <s v="Lina Yineth Carrillo Lozano "/>
    <n v="36068609"/>
    <x v="1"/>
    <s v="https://drive.google.com/drive/folders/1k1wBFwynQHumiQEXTamDJH5qTZLPg5xv?usp=sharing"/>
    <n v="3115558024"/>
    <x v="0"/>
    <s v="Huila"/>
    <s v="Neiva"/>
    <s v="RCE_260224_63"/>
    <m/>
    <m/>
    <s v="Sí"/>
    <s v="Equipo Técnico Territorial"/>
    <s v="No"/>
  </r>
  <r>
    <d v="2026-02-20T00:00:00"/>
    <s v="Ronald Felipe Peña Cely"/>
    <n v="74081406"/>
    <x v="1"/>
    <s v="https://drive.google.com/drive/folders/1vhJpeY4VqiOwYzZvxEr-Zo7ZAKjd22nt?usp=sharing"/>
    <n v="3128921226"/>
    <x v="1"/>
    <s v="Meta"/>
    <e v="#REF!"/>
    <s v="RCE_260224_63"/>
    <m/>
    <m/>
    <s v="Sí"/>
    <s v="Equipo Técnico Territorial"/>
    <s v="No"/>
  </r>
  <r>
    <d v="2026-02-20T00:00:00"/>
    <s v="Manuel Mauricio Gutiérrez Tovar "/>
    <n v="1080293304"/>
    <x v="1"/>
    <s v="https://drive.google.com/drive/folders/1SA_tsCijZdDNlEuhKXTQdZbUDjkc0yAF?usp=sharing"/>
    <n v="8782222"/>
    <x v="0"/>
    <s v="Huila"/>
    <s v="Palermo"/>
    <s v="RCE_260224_63_x000a_ RCE_260227_66"/>
    <m/>
    <m/>
    <s v="Sí"/>
    <s v="Equipo Técnico Territorial"/>
    <s v="No"/>
  </r>
  <r>
    <s v="7/01/2026_x000a_03/02/2026_x000a_03/03/2026"/>
    <s v="DIANA PATRICIA MORA CAICEDO"/>
    <n v="35377807"/>
    <x v="7"/>
    <s v="https://drive.google.com/drive/folders/1cv9Rbp7o6QhtLYdRXlPA92KziTevnpc2?usp=share_link"/>
    <n v="3045116112"/>
    <x v="4"/>
    <s v="Cundinamarca"/>
    <s v="El colegio"/>
    <s v="RCE_260304_70"/>
    <s v="RCE_260109_12_x000a_RCE_260209_44"/>
    <d v="2026-01-13T00:00:00"/>
    <s v="Sí"/>
    <s v="Equipo Nacional"/>
    <s v="No"/>
  </r>
  <r>
    <d v="2026-03-03T00:00:00"/>
    <s v="HÉCTOR GABRIEL ORTIZ SOLANO"/>
    <n v="7700268"/>
    <x v="1"/>
    <s v="https://drive.google.com/drive/folders/10IEFd2AbsBruyfyWzOlhYQqf3dTQBwqV?usp=sharing"/>
    <s v="8645667-3144710291"/>
    <x v="0"/>
    <s v="Huila"/>
    <e v="#REF!"/>
    <s v="RCE_260304_70"/>
    <m/>
    <m/>
    <s v="Sí"/>
    <s v="Equipo Técnico Territorial"/>
    <s v="No"/>
  </r>
  <r>
    <d v="2026-03-03T00:00:00"/>
    <s v="CARLOS AUGUSTO RUIZ GONZALEZ"/>
    <n v="1049613411"/>
    <x v="2"/>
    <s v="https://drive.google.com/drive/folders/1jjhMMJYcUPEM9zXcJb9opySXgbAnCDIJ?usp=sharing"/>
    <n v="3108962400"/>
    <x v="1"/>
    <s v="Boyaca"/>
    <e v="#REF!"/>
    <s v="RCE_260304_70"/>
    <m/>
    <m/>
    <s v="Sí"/>
    <s v="Equipo Técnico Territorial"/>
    <s v="No"/>
  </r>
  <r>
    <d v="2026-03-03T00:00:00"/>
    <s v="Cristhian Camilo Salas Cardozo"/>
    <n v="1100956639"/>
    <x v="1"/>
    <s v="https://drive.google.com/drive/folders/1ozdKGPMCEyjoPRn_TTTRgca6lwYDTrYk?usp=sharing"/>
    <s v="3208213366 - 3006179152"/>
    <x v="1"/>
    <s v="Santander"/>
    <e v="#REF!"/>
    <s v="RCE_260304_70"/>
    <m/>
    <m/>
    <s v="Sí"/>
    <s v="Equipo Técnico Territorial"/>
    <s v="No"/>
  </r>
  <r>
    <d v="2026-03-03T00:00:00"/>
    <s v="José Fernando Dussán Díaz"/>
    <n v="1075260621"/>
    <x v="1"/>
    <s v="https://drive.google.com/drive/folders/1N4dcEjZy1T9dPtG-mr8Ch7OC-OOZXqgs?usp=sharing"/>
    <s v="3163978877 - 3107871859"/>
    <x v="0"/>
    <s v="Huila"/>
    <e v="#REF!"/>
    <s v="RCE_260304_70"/>
    <m/>
    <m/>
    <s v="Sí"/>
    <s v="Equipo Técnico Territorial"/>
    <s v="No"/>
  </r>
  <r>
    <d v="2026-03-03T00:00:00"/>
    <s v="THALIA FERNANDA SEQUEDA"/>
    <n v="1102384214"/>
    <x v="5"/>
    <s v="https://drive.google.com/drive/folders/1jfHbPMLa4qj3yUWtK8XVh1M71hP8dEmd?usp=sharing"/>
    <n v="3155203877"/>
    <x v="0"/>
    <s v="Bogotá"/>
    <s v="Bogotá"/>
    <s v="RCE_260304_70"/>
    <m/>
    <m/>
    <s v="Sí"/>
    <s v="Equipo Nacional"/>
    <s v="No"/>
  </r>
  <r>
    <d v="2026-03-03T00:00:00"/>
    <s v="INDHIRA PATRICIA RAMOS ROJAS"/>
    <n v="40780086"/>
    <x v="2"/>
    <s v="https://drive.google.com/drive/folders/18l1B6oUWsxUAp6jkQJap7Qk1yzaw8J41?usp=sharing"/>
    <n v="3103058472"/>
    <x v="0"/>
    <s v="Caquetá"/>
    <e v="#REF!"/>
    <s v="RCE_260304_70"/>
    <m/>
    <m/>
    <s v="Sí"/>
    <s v="Equipo Técnico Territorial"/>
    <s v="No"/>
  </r>
  <r>
    <d v="2026-03-03T00:00:00"/>
    <s v="CARMEN CECILIA CASALINS ROMERO"/>
    <n v="57208222"/>
    <x v="2"/>
    <s v="https://drive.google.com/drive/folders/1nrHrggu9N2FNnHGUwtWDSLVJf_YpMq6J?usp=sharing"/>
    <n v="3106912038"/>
    <x v="2"/>
    <s v="Magdalena"/>
    <e v="#REF!"/>
    <s v="RCE_260304_70"/>
    <m/>
    <m/>
    <s v="Sí"/>
    <s v="Equipo Técnico Territorial"/>
    <s v="No"/>
  </r>
  <r>
    <d v="2026-03-03T00:00:00"/>
    <s v="CHRISTIAN JAVIER QUIÑONES A."/>
    <n v="4617197"/>
    <x v="1"/>
    <s v="https://drive.google.com/drive/folders/13LiyMHiKG3PcFnCeQulhISYolbZa11p7?usp=sharing"/>
    <n v="3108702287"/>
    <x v="3"/>
    <s v="Cauca"/>
    <e v="#REF!"/>
    <s v="RCE_260304_70"/>
    <m/>
    <m/>
    <s v="Sí"/>
    <s v="Equipo Técnico Territorial"/>
    <s v="No"/>
  </r>
  <r>
    <d v="2026-03-03T00:00:00"/>
    <s v="DIANA MARIA LOPEZ RAMIREZ"/>
    <n v="43274119"/>
    <x v="1"/>
    <s v="https://drive.google.com/drive/folders/1Zyxq-FSyXpJk-tv_sQMZbOUctMGC3Us8?usp=sharing"/>
    <n v="3114524280"/>
    <x v="0"/>
    <s v="Caquetá"/>
    <e v="#REF!"/>
    <s v="RCE_260304_70"/>
    <m/>
    <m/>
    <s v="Sí"/>
    <s v="Equipo Técnico Territorial"/>
    <s v="No"/>
  </r>
  <r>
    <d v="2026-03-03T00:00:00"/>
    <s v="DANIEL FERNANDO SANCHEZ WUALTEROS"/>
    <n v="1116863221"/>
    <x v="1"/>
    <s v="https://drive.google.com/drive/folders/1B2_TToDclpQuYi00j9FKskawk5_gf0kC?usp=sharing"/>
    <n v="3209543976"/>
    <x v="4"/>
    <s v="Arauca"/>
    <e v="#REF!"/>
    <s v="RCE_260304_70"/>
    <m/>
    <m/>
    <s v="Sí"/>
    <s v="Equipo Técnico Territorial"/>
    <s v="No"/>
  </r>
  <r>
    <d v="2026-03-03T00:00:00"/>
    <s v="ADRIAN FERNANDO SUAREZ GARTNER"/>
    <n v="4519046"/>
    <x v="1"/>
    <s v="https://drive.google.com/drive/folders/1L2LqDJNxeUkDVCQt3wFUjChQ8NIZih6n?usp=sharing"/>
    <n v="3045699047"/>
    <x v="4"/>
    <s v="Caldas"/>
    <e v="#REF!"/>
    <s v="RCE_260304_70"/>
    <m/>
    <m/>
    <s v="Sí"/>
    <s v="Equipo Técnico Territorial"/>
    <s v="No"/>
  </r>
  <r>
    <d v="2026-03-03T00:00:00"/>
    <s v="YOHANA DARSI SIERRA HERNANDEZ"/>
    <n v="36718425"/>
    <x v="1"/>
    <s v="https://drive.google.com/drive/folders/1uiKjNUB0QQuNtuzMQfDOC39eoiPdwJjv?usp=sharing"/>
    <n v="3173728971"/>
    <x v="2"/>
    <s v="Magdalena"/>
    <e v="#REF!"/>
    <s v="RCE_260304_70"/>
    <m/>
    <m/>
    <s v="Sí"/>
    <s v="Equipo Técnico Territorial"/>
    <s v="Sí"/>
  </r>
  <r>
    <d v="2026-03-03T00:00:00"/>
    <s v="MARINELLA SÁNCHEZ PARRA"/>
    <n v="40093428"/>
    <x v="2"/>
    <s v="https://drive.google.com/drive/folders/1rkSrfVhrjgS_Ez1KnRbpjaJYaFDok1wE?usp=sharing"/>
    <s v="3219991956-3209015717"/>
    <x v="0"/>
    <s v="Caquetá"/>
    <e v="#REF!"/>
    <s v="RCE_260304_70"/>
    <m/>
    <m/>
    <s v="Sí"/>
    <s v="Equipo Técnico Territorial"/>
    <s v="No"/>
  </r>
  <r>
    <d v="2026-03-03T00:00:00"/>
    <s v="Zamir Alfonso Arévalo López"/>
    <n v="91521693"/>
    <x v="6"/>
    <s v="https://drive.google.com/drive/folders/1VzcMQmEBL4u_08Ru15sFVXWnSGLk8M66?usp=sharing"/>
    <n v="3204549403"/>
    <x v="1"/>
    <s v="Arauca"/>
    <e v="#REF!"/>
    <s v="RCE_260305_72_x000a_RCE_260318_76_x000a_"/>
    <s v=" RCE_260304_71"/>
    <m/>
    <s v="Sí"/>
    <s v="Equipo Nacional"/>
    <s v="No"/>
  </r>
  <r>
    <s v="7/01/2026_x000a_16/03/2026"/>
    <s v="JERSON STIVEN GARCIA PICON"/>
    <n v="1098812449"/>
    <x v="5"/>
    <s v="https://drive.google.com/drive/folders/1g2UZ9p3ff192jGokvNBKV2UmCrPWoozy"/>
    <n v="3112637825"/>
    <x v="1"/>
    <s v="Santander"/>
    <s v="Bucaramanga"/>
    <s v="RCE_260318_76"/>
    <s v="RCE_260109_12"/>
    <d v="2026-01-13T00:00:00"/>
    <s v="Sí"/>
    <s v="Equipo Nacional"/>
    <s v="No"/>
  </r>
  <r>
    <s v="28/01/2026_x000a_16/03/2026"/>
    <s v="Carlos Arturo Blanco"/>
    <n v="92524049"/>
    <x v="1"/>
    <s v="https://drive.google.com/drive/folders/1Reyte8RxdC2NYciwJbPzdHFgOygtEmCX?usp=sharing"/>
    <n v="3244489414"/>
    <x v="2"/>
    <s v="Sucre"/>
    <e v="#REF!"/>
    <s v="RCE_260318_76"/>
    <s v="RCE_260131_36"/>
    <d v="2026-02-09T00:00:00"/>
    <s v="Sí"/>
    <s v="Equipo Técnico Territorial"/>
    <s v="No"/>
  </r>
  <r>
    <s v="20/02/2026_x000a_16/03/2026"/>
    <s v="Andrea Aguirre Rodriguez"/>
    <n v="52838707"/>
    <x v="2"/>
    <s v="https://drive.google.com/drive/folders/17GRyaEweNyvpCN5J4LxmVt-pdab6DXx0?usp=sharing"/>
    <s v="3123938136 /3044568349"/>
    <x v="0"/>
    <s v="Bogotá"/>
    <s v="Bogotá"/>
    <s v="RCE_260318_76"/>
    <s v="RCE_260220_56"/>
    <d v="2026-02-23T00:00:00"/>
    <s v="Sí"/>
    <s v="Equipo Técnico Territorial"/>
    <s v="No"/>
  </r>
  <r>
    <d v="2026-03-16T00:00:00"/>
    <s v="RUBEN DARIO VILLADA PEREA"/>
    <n v="6497712"/>
    <x v="1"/>
    <s v="https://drive.google.com/drive/folders/1dLWfY5LNpeBuLAKfNVq-ck7lwJ3y7zhg?usp=sharing"/>
    <n v="3125921087"/>
    <x v="2"/>
    <s v="Córdoba"/>
    <e v="#REF!"/>
    <s v="RCE_260318_76"/>
    <m/>
    <m/>
    <s v="Sí"/>
    <s v="Equipo Técnico Territorial"/>
    <s v="No"/>
  </r>
  <r>
    <d v="2026-03-16T00:00:00"/>
    <s v="CLAUDIA DIAZ TRIANA"/>
    <n v="52286867"/>
    <x v="1"/>
    <s v="https://drive.google.com/drive/folders/1Mldl7aab-edQnLNk9av50WS_JyU5mt2_?usp=sharing"/>
    <s v="3143437579 - 3028438858"/>
    <x v="0"/>
    <s v="Guaviare "/>
    <e v="#REF!"/>
    <s v="RCE_260318_76"/>
    <m/>
    <m/>
    <s v="Sí"/>
    <s v="Equipo Técnico Territorial"/>
    <s v="Sí"/>
  </r>
  <r>
    <d v="2026-03-16T00:00:00"/>
    <s v="ANA ROSIRIS PUELLO NORIEGA"/>
    <n v="50898623"/>
    <x v="2"/>
    <s v="https://drive.google.com/drive/folders/1EBYxxy6WLTcAfcHJM7LuoVULYsZKF2Bq?usp=sharing"/>
    <n v="3113886665"/>
    <x v="2"/>
    <s v="Córdoba"/>
    <e v="#REF!"/>
    <s v="RCE_260318_76"/>
    <m/>
    <m/>
    <s v="Sí"/>
    <s v="Equipo Técnico Territorial"/>
    <s v="No"/>
  </r>
  <r>
    <d v="2026-03-16T00:00:00"/>
    <s v="CRISTIAN CAMILO CORTEZ SEQUEDA"/>
    <n v="1102877553"/>
    <x v="1"/>
    <s v="https://drive.google.com/drive/folders/1SyHvafwdoDvTgufRamYtXXnSsxgf6dDn?usp=sharing"/>
    <n v="3023527494"/>
    <x v="2"/>
    <s v="Chocó"/>
    <e v="#REF!"/>
    <s v="RCE_260318_76"/>
    <m/>
    <m/>
    <s v="Sí"/>
    <s v="Equipo Técnico Territorial"/>
    <s v="No"/>
  </r>
  <r>
    <d v="2026-03-16T00:00:00"/>
    <s v="JESÚS DAVID MARTÍNEZ GUERRERO"/>
    <n v="1102866236"/>
    <x v="2"/>
    <s v="https://drive.google.com/drive/folders/15yu2sW_yqQ1hq_YCaf4PT3s7LfL8P3uQ?usp=sharing"/>
    <n v="3205274671"/>
    <x v="2"/>
    <s v="Bolívar"/>
    <e v="#REF!"/>
    <s v="RCE_260318_76"/>
    <m/>
    <m/>
    <s v="Sí"/>
    <s v="Equipo Técnico Territorial"/>
    <s v="No"/>
  </r>
  <r>
    <d v="2026-03-16T00:00:00"/>
    <s v="LILIANA TERESA BENÍTEZ ÁLVAREZ"/>
    <n v="64561402"/>
    <x v="2"/>
    <s v="https://drive.google.com/drive/folders/1jX41qjT693O7cc7MIkHAsIXYzVgDrWXO?usp=sharing"/>
    <n v="3008374225"/>
    <x v="2"/>
    <s v="Sucre"/>
    <e v="#REF!"/>
    <s v="RCE_260318_76"/>
    <m/>
    <m/>
    <s v="Sí"/>
    <s v="Equipo Técnico Territorial"/>
    <s v="No"/>
  </r>
  <r>
    <d v="2026-03-16T00:00:00"/>
    <s v="MILENA DEL CARMEN DURANGO R."/>
    <n v="25786528"/>
    <x v="2"/>
    <s v="https://drive.google.com/drive/folders/1Au99cZoquveNW3Phx1qp5FsWL-N3afZg?usp=sharing"/>
    <n v="3013775664"/>
    <x v="2"/>
    <s v="Córdoba"/>
    <e v="#REF!"/>
    <s v="RCE_260318_76"/>
    <m/>
    <m/>
    <s v="Sí"/>
    <s v="Equipo Técnico Territorial"/>
    <s v="No"/>
  </r>
  <r>
    <d v="2026-03-16T00:00:00"/>
    <s v="zARNOL DANILO BUELVAS G."/>
    <n v="77020466"/>
    <x v="2"/>
    <s v="https://drive.google.com/drive/folders/1nYOKTPWVkrtncnWjQAvWSEW8fyjKh0Hy?usp=sharing"/>
    <n v="3117255709"/>
    <x v="2"/>
    <s v="Cesar"/>
    <e v="#REF!"/>
    <s v="RCE_260318_76"/>
    <m/>
    <m/>
    <s v="Sí"/>
    <s v="Equipo Técnico Territorial"/>
    <s v="No"/>
  </r>
  <r>
    <d v="2026-03-16T00:00:00"/>
    <s v="SANDRA LORENA PAZ GUTIÉRREZ"/>
    <n v="1078918155"/>
    <x v="1"/>
    <s v="https://drive.google.com/drive/folders/1tYuCUjZ0gsttNAf0dQ_51S0dGa6A3lLz?usp=sharing"/>
    <n v="3127643163"/>
    <x v="3"/>
    <s v="Chocó"/>
    <e v="#REF!"/>
    <s v="RCE_260318_76"/>
    <m/>
    <m/>
    <s v="Sí"/>
    <s v="Equipo Técnico Territorial"/>
    <s v="No"/>
  </r>
  <r>
    <d v="2026-03-16T00:00:00"/>
    <s v="ANDRES ALFONSO PINTO CORDOBA"/>
    <n v="12647338"/>
    <x v="1"/>
    <s v="https://drive.google.com/drive/folders/1wUbiz3bbBMnaDwqZ0Y16vzL0UBjQLo0y?usp=sharing"/>
    <n v="3128186985"/>
    <x v="2"/>
    <s v="Cesar"/>
    <e v="#REF!"/>
    <s v="RCE_260318_76"/>
    <m/>
    <m/>
    <s v="Sí"/>
    <s v="Equipo Técnico Territorial"/>
    <s v="No"/>
  </r>
  <r>
    <d v="2026-03-16T00:00:00"/>
    <s v="CLAUDIA JANETH ROBLES LÓPEZ"/>
    <n v="49609120"/>
    <x v="1"/>
    <s v="https://drive.google.com/drive/folders/1B0qwjj0xO9VVStCn76-q_H9ey_rGcsYJ?usp=sharing"/>
    <s v="317 681 04 58"/>
    <x v="2"/>
    <s v="Cesar"/>
    <e v="#REF!"/>
    <s v="RCE_260318_76"/>
    <m/>
    <m/>
    <s v="Sí"/>
    <s v="Equipo Técnico Territorial"/>
    <s v="No"/>
  </r>
  <r>
    <d v="2026-03-16T00:00:00"/>
    <s v="LEONARDO FAVIO FUENTES RHÉNALS"/>
    <n v="78026323"/>
    <x v="1"/>
    <s v="https://drive.google.com/drive/folders/1xH1a7mu4p1pNKc6sMKTSTcTpS6xp29OA?usp=sharing"/>
    <n v="3152877554"/>
    <x v="2"/>
    <s v="Córdoba"/>
    <e v="#REF!"/>
    <s v="RCE_260318_76"/>
    <m/>
    <m/>
    <s v="Sí"/>
    <s v="Equipo Técnico Territorial"/>
    <s v="Sí"/>
  </r>
  <r>
    <d v="2026-03-16T00:00:00"/>
    <s v="JESÚS RICARDO MÉNDEZ GAMARRA"/>
    <n v="9021076"/>
    <x v="1"/>
    <s v="https://drive.google.com/drive/folders/1Dpaom8thc9xUYc7w8La6o5ByKBWVhXDv?usp=sharing"/>
    <n v="3148671578"/>
    <x v="2"/>
    <s v="Bolívar"/>
    <e v="#REF!"/>
    <s v="RCE_260318_76"/>
    <m/>
    <m/>
    <s v="Sí"/>
    <s v="Equipo Técnico Territorial"/>
    <s v="No"/>
  </r>
  <r>
    <d v="2026-03-16T00:00:00"/>
    <s v="ERIKA PATRICIA RODRÍGUEZ PEREZ"/>
    <n v="1124028149"/>
    <x v="2"/>
    <s v="https://drive.google.com/drive/folders/1Yi-6oZjYJ_E4CBAIXnLoWMJUMKV25f97?usp=sharing"/>
    <n v="3106681103"/>
    <x v="2"/>
    <s v="La guajira"/>
    <e v="#REF!"/>
    <s v="RCE_260318_76"/>
    <m/>
    <m/>
    <s v="Sí"/>
    <s v="Equipo Técnico Territorial"/>
    <s v="No"/>
  </r>
  <r>
    <d v="2026-03-16T00:00:00"/>
    <s v="CARLOS JAVIER CONTRERAS DE HOYOS"/>
    <n v="92529616"/>
    <x v="1"/>
    <s v="https://drive.google.com/drive/folders/1GlkTi2kH4XzvaB0nsxT6Xsguu0FEMmkP?usp=sharing"/>
    <n v="3147947891"/>
    <x v="2"/>
    <s v="Bolívar"/>
    <e v="#REF!"/>
    <s v="RCE_260318_76"/>
    <m/>
    <m/>
    <s v="Sí"/>
    <s v="Equipo Técnico Territorial"/>
    <s v="Sí"/>
  </r>
  <r>
    <d v="2026-03-16T00:00:00"/>
    <s v="Dalgis del Pilar Sánchez Jiménez"/>
    <n v="57270268"/>
    <x v="2"/>
    <s v="https://drive.google.com/drive/folders/1OoZl3po0V8aLStTnuQJMQQxVgwGDEqvA?usp=sharing"/>
    <n v="3014864360"/>
    <x v="2"/>
    <s v="Magdalena"/>
    <e v="#REF!"/>
    <s v="RCE_260318_76"/>
    <m/>
    <m/>
    <s v="Sí"/>
    <s v="Equipo Técnico Territorial"/>
    <s v="No"/>
  </r>
  <r>
    <d v="2026-03-16T00:00:00"/>
    <s v="Sergio Roman Restrepo Bueno"/>
    <n v="1082907263"/>
    <x v="2"/>
    <s v="https://drive.google.com/drive/folders/1JsKUem9Ta2gDdasgUqXbJm-kOzVw6bgQ?usp=sharing"/>
    <n v="3017399269"/>
    <x v="2"/>
    <s v="Cesar"/>
    <e v="#REF!"/>
    <s v="RCE_260318_76"/>
    <m/>
    <m/>
    <s v="Sí"/>
    <s v="Equipo Técnico Territorial"/>
    <s v="No"/>
  </r>
  <r>
    <d v="2026-03-16T00:00:00"/>
    <s v="KAREN YULIETH BERMUDEZ VIEDA"/>
    <n v="36067548"/>
    <x v="2"/>
    <s v="https://drive.google.com/drive/folders/1eTjpDic2x4YtlRkmgU2x8JPK5o0Kwff6?usp=sharing"/>
    <n v="3184674047"/>
    <x v="0"/>
    <s v="Huila"/>
    <e v="#REF!"/>
    <s v="RCE_260318_76"/>
    <m/>
    <m/>
    <s v="Sí"/>
    <s v="Equipo Técnico Territorial"/>
    <s v="No"/>
  </r>
  <r>
    <d v="2026-03-16T00:00:00"/>
    <s v="LEYDY EVONNE LOPEZ PALECHOR"/>
    <n v="34325427"/>
    <x v="2"/>
    <s v="https://drive.google.com/drive/folders/1Tj63MMlbl8W54KgTeiO17tV1VfWkwUWo?usp=sharing"/>
    <n v="3147320974"/>
    <x v="3"/>
    <s v="Cauca"/>
    <e v="#REF!"/>
    <s v="RCE_260318_76"/>
    <m/>
    <m/>
    <s v="Sí"/>
    <s v="Equipo Técnico Territorial"/>
    <s v="No"/>
  </r>
  <r>
    <d v="2026-03-16T00:00:00"/>
    <s v="ANZULA NIÑO RUIZ"/>
    <n v="52959552"/>
    <x v="1"/>
    <s v="https://drive.google.com/drive/folders/1TWBevP9-YRK8bA22jvvJqSnQt3OwNuLF?usp=sharing"/>
    <s v="310 5574417"/>
    <x v="0"/>
    <s v="Vichada"/>
    <e v="#REF!"/>
    <s v="RCE_260318_76"/>
    <m/>
    <m/>
    <s v="Sí"/>
    <s v="Equipo Técnico Territorial"/>
    <s v="Sí"/>
  </r>
  <r>
    <d v="2026-03-16T00:00:00"/>
    <s v="DINA JULIETH FRANCO TORRES"/>
    <n v="1120560715"/>
    <x v="1"/>
    <s v="https://drive.google.com/drive/folders/1EGex_RJoo__ZICkryVVjtK0ntDDncj07?usp=sharing"/>
    <n v="3213275620"/>
    <x v="0"/>
    <s v="Bogotá"/>
    <s v="Bogotá"/>
    <s v="RCE_260318_76"/>
    <m/>
    <m/>
    <s v="Sí"/>
    <s v="Equipo Técnico Territorial"/>
    <s v="No"/>
  </r>
  <r>
    <d v="2026-03-16T00:00:00"/>
    <s v="CLAUDIA MARCELA CASTAÑO GONZÁLEZ"/>
    <n v="40332052"/>
    <x v="1"/>
    <s v="https://drive.google.com/drive/folders/1m5cT2UZF89k-e-Ua5VscDeu8-Ep-1yKV?usp=sharing"/>
    <n v="3134333393"/>
    <x v="0"/>
    <s v="Meta"/>
    <e v="#REF!"/>
    <s v="RCE_260318_76"/>
    <m/>
    <m/>
    <s v="Sí"/>
    <s v="Equipo Técnico Territorial"/>
    <s v="Sí"/>
  </r>
  <r>
    <d v="2026-03-16T00:00:00"/>
    <s v="RUBI ENITH ROJAS CORDOBA"/>
    <n v="1117494083"/>
    <x v="1"/>
    <s v="https://drive.google.com/drive/folders/1RJKPWkUylsXMTbtd3O-GgFf2WhO1kz6a?usp=sharing"/>
    <n v="3132304451"/>
    <x v="0"/>
    <s v="Caquetá"/>
    <e v="#REF!"/>
    <s v="RCE_260318_76"/>
    <m/>
    <m/>
    <s v="Sí"/>
    <s v="Equipo Técnico Territorial"/>
    <s v="Sí"/>
  </r>
  <r>
    <d v="2026-03-16T00:00:00"/>
    <s v="DORIAN ELECER BARANDICA CARVAJAL"/>
    <n v="94415090"/>
    <x v="1"/>
    <s v="https://drive.google.com/drive/folders/1682ucS_kuRLY5KIoS2ax_Qo7PBl_6yMO?usp=sharing"/>
    <s v="311 726 6455"/>
    <x v="3"/>
    <s v="Valle del Cauca"/>
    <e v="#REF!"/>
    <s v="RCE_260318_76"/>
    <m/>
    <m/>
    <s v="Sí"/>
    <s v="Equipo Técnico Territorial"/>
    <s v="No"/>
  </r>
  <r>
    <d v="2026-03-16T00:00:00"/>
    <s v="BLANCA RUBIELA CUBIDES LOPEZ"/>
    <n v="33645219"/>
    <x v="1"/>
    <s v="https://drive.google.com/drive/folders/1r062__69yS3bUkK11teBD89cMPmIHfRI?usp=sharing"/>
    <n v="3214518163"/>
    <x v="0"/>
    <s v="Boyacá"/>
    <e v="#REF!"/>
    <s v="RCE_260318_76"/>
    <m/>
    <m/>
    <s v="Sí"/>
    <s v="Equipo Técnico Territorial"/>
    <s v="No"/>
  </r>
  <r>
    <d v="2026-03-16T00:00:00"/>
    <s v="PEDRO ENRIQUE WATTS FERNANDEZ"/>
    <n v="78690475"/>
    <x v="1"/>
    <s v="https://drive.google.com/drive/folders/1Sld_Sbbv0JlwboEK7Tkkszo9bvsgbd7G?usp=sharing"/>
    <n v="3008386805"/>
    <x v="2"/>
    <s v="Córdoba"/>
    <e v="#REF!"/>
    <s v="RCE_260318_76"/>
    <m/>
    <m/>
    <s v="Sí"/>
    <s v="Equipo Técnico Territorial"/>
    <s v="Sí"/>
  </r>
  <r>
    <d v="2026-03-16T00:00:00"/>
    <s v="YONIER SAMIR FERNANDEZ LEON"/>
    <n v="1059597100"/>
    <x v="1"/>
    <s v="https://drive.google.com/drive/folders/10N6nHv-D8H-PDxfLf7uEl89UexzXgKLP?usp=sharing"/>
    <n v="3178950032"/>
    <x v="3"/>
    <s v="Cauca"/>
    <e v="#REF!"/>
    <s v="RCE_260318_76"/>
    <m/>
    <m/>
    <s v="Sí"/>
    <s v="Equipo Técnico Territorial"/>
    <s v="Sí"/>
  </r>
  <r>
    <d v="2026-03-16T00:00:00"/>
    <s v="YECENIA MENA CÓRDOBA"/>
    <n v="1077440695"/>
    <x v="1"/>
    <s v="https://drive.google.com/drive/folders/11Y-NusdShMroU2xrVpxgQramkvJQPKJO?usp=sharing"/>
    <n v="3137061306"/>
    <x v="3"/>
    <s v="Chocó"/>
    <e v="#REF!"/>
    <s v="RCE_260318_76"/>
    <m/>
    <m/>
    <s v="Sí"/>
    <s v="Equipo Técnico Territorial"/>
    <s v="Sí"/>
  </r>
  <r>
    <d v="2026-03-16T00:00:00"/>
    <s v="LORLEYVIS MACHADO CAICEDO"/>
    <n v="1077453140"/>
    <x v="1"/>
    <s v="https://drive.google.com/drive/folders/1norfYiRxpNF8VYJYuV83gb2YqB80CvxY?usp=sharing"/>
    <n v="3123211116"/>
    <x v="3"/>
    <s v="Chocó"/>
    <e v="#REF!"/>
    <s v="RCE_260318_76"/>
    <m/>
    <m/>
    <s v="Sí"/>
    <s v="Equipo Técnico Territorial"/>
    <s v="Sí"/>
  </r>
  <r>
    <d v="2026-03-16T00:00:00"/>
    <s v="Jenny Liliana Giraldo Marin"/>
    <n v="42091738"/>
    <x v="1"/>
    <s v="https://drive.google.com/drive/folders/1i6GvPnH_pwUDGWsdt96wiZCIsQCKphuZ?usp=sharing"/>
    <n v="3122574454"/>
    <x v="4"/>
    <s v="Risaralda"/>
    <e v="#REF!"/>
    <s v="RCE_260318_76"/>
    <m/>
    <m/>
    <s v="Sí"/>
    <s v="Equipo Técnico Territorial"/>
    <s v="Sí"/>
  </r>
  <r>
    <d v="2026-03-16T00:00:00"/>
    <s v="Dairo Alberto Henao Ramirez"/>
    <n v="1036397651"/>
    <x v="1"/>
    <s v="https://drive.google.com/drive/folders/11JyktD0BVp2mmRX3L98B4mV7fjzyD_Rz?usp=sharing"/>
    <n v="3146168152"/>
    <x v="4"/>
    <s v="Antioquia"/>
    <e v="#REF!"/>
    <s v="RCE_260318_76"/>
    <m/>
    <m/>
    <s v="Sí"/>
    <s v="Equipo Técnico Territorial"/>
    <s v="No"/>
  </r>
  <r>
    <d v="2026-03-16T00:00:00"/>
    <s v="Luz Nancy Gomez Cardenas"/>
    <n v="24988900"/>
    <x v="1"/>
    <s v="https://drive.google.com/drive/folders/1fm0ky-ddmp84Ol4V-MLjr2StrkKmMdyH?usp=sharing"/>
    <n v="3144449861"/>
    <x v="4"/>
    <s v="Quindío"/>
    <e v="#REF!"/>
    <s v="RCE_260318_76"/>
    <m/>
    <m/>
    <s v="Sí"/>
    <s v="Equipo Técnico Territorial"/>
    <s v="No"/>
  </r>
  <r>
    <s v="10/03/2026 mediante oficio RAI_260310_7 "/>
    <s v="Vanessa López León"/>
    <n v="1020834140"/>
    <x v="3"/>
    <s v="https://drive.google.com/drive/folders/1RwFL2d6GEt6ssb5Le2zZcsqF9fnln8aD "/>
    <n v="3227744669"/>
    <x v="3"/>
    <s v="Bogotá"/>
    <s v="Bogotá"/>
    <s v="RCE_260318_76"/>
    <m/>
    <m/>
    <s v="Sí"/>
    <s v="Equipo Nacional"/>
    <s v="Sí"/>
  </r>
  <r>
    <d v="2026-02-09T00:00:00"/>
    <s v="Diego Fernando Lalinde Sánchez "/>
    <n v="1053842964"/>
    <x v="2"/>
    <s v="https://drive.google.com/drive/folders/1B4TYmOxxT-_e-ZoSCYynMskZGPXMVYwJ?usp=sharing"/>
    <n v="3167762808"/>
    <x v="4"/>
    <n v="0"/>
    <e v="#REF!"/>
    <m/>
    <s v=" RCE_260228_68 "/>
    <m/>
    <s v="No"/>
    <s v="Equipo Técnico Territorial"/>
    <s v="No"/>
  </r>
  <r>
    <d v="2026-03-03T00:00:00"/>
    <s v="ALVARO LORZA PITT"/>
    <n v="80550330"/>
    <x v="2"/>
    <s v="https://drive.google.com/drive/folders/1sqdjmuxlKc0xNgoi7_fI35DWmsdSDzi7?usp=sharing"/>
    <s v="312 3929444"/>
    <x v="0"/>
    <s v="Bogotá"/>
    <s v="Bogotá"/>
    <m/>
    <s v=" RCE_260304_71"/>
    <m/>
    <s v="No"/>
    <s v="Equipo Técnico Territorial"/>
    <s v="No"/>
  </r>
  <r>
    <d v="2026-03-03T00:00:00"/>
    <s v="LUISA FERNANDA GORDILLO RAMIREZ"/>
    <n v="1053798918"/>
    <x v="2"/>
    <s v="https://drive.google.com/drive/folders/1abUt9H4pTlH0eJ1XF88i_0u5QaKcLCLe?usp=sharing"/>
    <n v="3104038288"/>
    <x v="4"/>
    <s v="Caldas"/>
    <e v="#REF!"/>
    <m/>
    <s v=" RCE_260304_71"/>
    <m/>
    <s v="No"/>
    <s v="Equipo Técnico Territorial"/>
    <s v="No"/>
  </r>
  <r>
    <d v="2026-03-16T00:00:00"/>
    <s v="Amarilis Buelvas Naranjo"/>
    <n v="25914912"/>
    <x v="2"/>
    <s v="https://drive.google.com/drive/folders/1yTI_wZZfGIb0B4v6Zn3D15RgmMKKu_Rd?usp=sharing"/>
    <n v="3008760973"/>
    <x v="3"/>
    <s v="Antioquia"/>
    <e v="#REF!"/>
    <m/>
    <s v=" RCE_260318_75"/>
    <m/>
    <s v="No"/>
    <s v="Equipo Técnico Territorial"/>
    <s v="No"/>
  </r>
  <r>
    <d v="2026-03-16T00:00:00"/>
    <s v="Nahara Keyla Mussy Vega"/>
    <n v="64721391"/>
    <x v="1"/>
    <s v="https://drive.google.com/drive/folders/1Gm_Dy0hSejRiYTFQQVDYgbnDp4NVqlH5?usp=sharing"/>
    <n v="3114046181"/>
    <x v="2"/>
    <s v="Sucre"/>
    <e v="#REF!"/>
    <m/>
    <s v=" RCE_260318_75"/>
    <m/>
    <s v="No"/>
    <s v="Equipo Técnico Territorial"/>
    <s v="No"/>
  </r>
  <r>
    <d v="2026-03-16T00:00:00"/>
    <s v="Maira Casas Rodriguez"/>
    <n v="1030558932"/>
    <x v="1"/>
    <s v="https://drive.google.com/drive/folders/1KqlbHuZMdmxPMVDLqZ24_xJHxcLTFv0Y?usp=sharing"/>
    <n v="3213664209"/>
    <x v="4"/>
    <s v="Bogotá"/>
    <s v="Bogotá"/>
    <m/>
    <s v=" RCE_260318_75"/>
    <m/>
    <s v="No"/>
    <s v="Equipo Técnico Territorial"/>
    <s v="No"/>
  </r>
  <r>
    <d v="2026-03-16T00:00:00"/>
    <s v="Carlos Andres Pinto Duque"/>
    <n v="1003314001"/>
    <x v="1"/>
    <s v="https://drive.google.com/drive/folders/156_5ov1yvfEs2ZBVAp65HH4Kr4xMHZ48?usp=sharing"/>
    <n v="3147459249"/>
    <x v="2"/>
    <s v="Cesar"/>
    <e v="#REF!"/>
    <m/>
    <s v=" RCE_260318_75"/>
    <m/>
    <s v="No"/>
    <s v="Equipo Técnico Territorial"/>
    <s v="No"/>
  </r>
  <r>
    <d v="2026-03-16T00:00:00"/>
    <s v="Angelo Giovanni Santos Muñoz"/>
    <n v="98668020"/>
    <x v="1"/>
    <s v="https://drive.google.com/drive/folders/1gj_DFcERPUJ0ycrXevebvtAYgb8lVC7O?usp=sharing"/>
    <n v="3116300485"/>
    <x v="4"/>
    <s v="Risaralda"/>
    <e v="#REF!"/>
    <m/>
    <s v=" RCE_260318_75"/>
    <m/>
    <s v="No"/>
    <s v="Equipo Técnico Territorial"/>
    <s v="No"/>
  </r>
  <r>
    <d v="2026-03-16T00:00:00"/>
    <s v="Maribel Moreno Escobar"/>
    <n v="52089350"/>
    <x v="2"/>
    <s v="https://drive.google.com/drive/folders/1H1XCM3vT0ijKwQ3rFAx-rl2RES8gJcOv?usp=sharing"/>
    <n v="3213664209"/>
    <x v="4"/>
    <s v="Bogotá"/>
    <s v="Bogotá"/>
    <m/>
    <s v=" RCE_260318_75"/>
    <m/>
    <s v="No"/>
    <s v="Equipo Técnico Territorial"/>
    <s v="No"/>
  </r>
  <r>
    <d v="2025-12-29T00:00:00"/>
    <s v="LADY MILENA MONTENEGRO CHAMORRO "/>
    <n v="1085274934"/>
    <x v="0"/>
    <s v="https://drive.google.com/drive/folders/1bjhPUJFw1r0fo-I4yhovrTfabGMak4Z3?usp=sharing"/>
    <n v="3114938756"/>
    <x v="3"/>
    <s v="Nariño"/>
    <s v="Cumbitara"/>
    <m/>
    <s v="RCE_260102_3"/>
    <d v="2026-01-13T00:00:00"/>
    <s v="No"/>
    <s v="Equipo Técnico Territorial"/>
    <s v="No"/>
  </r>
  <r>
    <d v="2025-12-29T00:00:00"/>
    <s v="DANIEL FELIPE RUIZ PINEDA"/>
    <n v="1030690020"/>
    <x v="6"/>
    <s v="https://drive.google.com/drive/folders/1gzkXW4_VDWwyXZRB995R0QiTIPkrw4oY"/>
    <n v="3204521679"/>
    <x v="0"/>
    <s v="Bogotá"/>
    <s v="Bogotá"/>
    <m/>
    <s v="RCE_260102_3_x000a_RCE_260106_8_x000a_RCE_260106_9"/>
    <d v="2026-01-13T00:00:00"/>
    <s v="No"/>
    <s v="Equipo Nacional"/>
    <s v="No"/>
  </r>
  <r>
    <d v="2026-01-10T00:00:00"/>
    <s v="ELISA MILENA SALINAS"/>
    <n v="1110587428"/>
    <x v="1"/>
    <s v="https://drive.google.com/drive/folders/1ST-puknM5h51OZBZ9rY1vaY3OLhGW9C9?usp=sharing"/>
    <n v="3145801767"/>
    <x v="4"/>
    <s v="Cundinamarca"/>
    <s v="Madrid"/>
    <m/>
    <s v="RCE_260102_3_x000a_RCE_260115_16"/>
    <d v="2026-01-17T00:00:00"/>
    <s v="No"/>
    <s v="Equipo Técnico Territorial"/>
    <s v="No"/>
  </r>
  <r>
    <s v="10/01/2026_x000a_19/01/2026"/>
    <s v="KEVIN ALIR SANCHEZ GÓNGORA"/>
    <n v="1013636954"/>
    <x v="1"/>
    <s v="https://drive.google.com/drive/folders/1ZEd12UffBIbkep9NtU1TuipWGYX-UM0V?usp=sharing"/>
    <s v="3178453574 / 3162233040"/>
    <x v="0"/>
    <s v="Bogotá"/>
    <s v="Bogotá"/>
    <m/>
    <s v="RCE_260102_3_x000a_RCE_260115_16 _x000a_RCE_260121_23"/>
    <d v="2026-01-27T00:00:00"/>
    <s v="No"/>
    <s v="Equipo Técnico Territorial"/>
    <s v="No"/>
  </r>
  <r>
    <d v="2025-12-29T00:00:00"/>
    <s v="ANDRÉS JOSÉ MORA ESQUIVEL "/>
    <n v="1098762070"/>
    <x v="6"/>
    <s v="https://drive.google.com/drive/folders/12l8Y9bUELyJU60_U7--sOnUpsCBV73xv?usp=sharing"/>
    <n v="3186320168"/>
    <x v="1"/>
    <s v="Santander"/>
    <s v="Girón"/>
    <m/>
    <s v="RCE_260105_7_x000a_RCE_260109_12"/>
    <d v="2026-01-13T00:00:00"/>
    <s v="No"/>
    <s v="Equipo Nacional"/>
    <s v="No"/>
  </r>
  <r>
    <d v="2025-12-29T00:00:00"/>
    <s v="RIKY ANDRES CARRILLO CADENA"/>
    <n v="1102724007"/>
    <x v="6"/>
    <s v="https://drive.google.com/drive/folders/1RQBfRYdZzXEYs-tGHykN4pt5FjItF8-Z"/>
    <n v="3132747639"/>
    <x v="0"/>
    <s v="Bogotá"/>
    <s v="Bogotá"/>
    <m/>
    <s v="RCE_260105_7_x000a_RCE_260109_12 RCE_260408_79"/>
    <d v="2026-01-13T00:00:00"/>
    <s v="No"/>
    <s v="Equipo Nacional"/>
    <s v="No"/>
  </r>
  <r>
    <d v="2026-01-03T00:00:00"/>
    <s v="ANASTACIA JULIANA ACEVEDO SANGUINO"/>
    <n v="1007384556"/>
    <x v="5"/>
    <s v="https://drive.google.com/drive/folders/1kGUq8IjKzORdxJXgJXHjuMWyhdf79WQ"/>
    <n v="3229244880"/>
    <x v="1"/>
    <s v="Arauca"/>
    <e v="#REF!"/>
    <m/>
    <s v="RCE_260106_8_x000a_RCE_260106_9"/>
    <d v="2026-01-13T00:00:00"/>
    <s v="No"/>
    <s v="Equipo Nacional"/>
    <s v="No"/>
  </r>
  <r>
    <d v="2026-01-03T00:00:00"/>
    <s v="LUIS FERNANDO ARIAS CONTRERAS"/>
    <n v="1065836266"/>
    <x v="8"/>
    <s v="https://drive.google.com/drive/folders/1MaSvQYoDXhyT94SowCbOFdIaO6VvMvyb?usp=sharing"/>
    <n v="3137899900"/>
    <x v="2"/>
    <s v="Valledupar"/>
    <s v="Cesar"/>
    <m/>
    <s v="RCE_260106_9_x000a_RCE_260109_12"/>
    <d v="2026-01-13T00:00:00"/>
    <s v="No"/>
    <s v="Equipo Nacional"/>
    <s v="No"/>
  </r>
  <r>
    <d v="2026-01-07T00:00:00"/>
    <s v="NAHUN EMIRO PAREDES"/>
    <n v="1065912517"/>
    <x v="8"/>
    <s v="https://drive.google.com/drive/u/1/folders/1ZZPbznhGgsnHaa81JWJEUbPNybXHtNsY"/>
    <n v="3187987337"/>
    <x v="2"/>
    <s v="Cesar"/>
    <e v="#REF!"/>
    <m/>
    <s v="RCE_260109_12"/>
    <d v="2026-01-13T00:00:00"/>
    <s v="No"/>
    <s v="Equipo Nacional"/>
    <s v="No"/>
  </r>
  <r>
    <d v="2026-01-07T00:00:00"/>
    <s v="CRISTIAM DAVIS OROZCO DIAZ"/>
    <n v="4438271"/>
    <x v="5"/>
    <s v="https://drive.google.com/drive/folders/1Dqrhb2d1twKZQeD01ssGY8C3KHo0wNeC"/>
    <n v="3148759309"/>
    <x v="4"/>
    <s v="Caldas"/>
    <e v="#REF!"/>
    <m/>
    <s v="RCE_260109_12"/>
    <d v="2026-01-13T00:00:00"/>
    <s v="No"/>
    <s v="Equipo Nacional"/>
    <s v="No"/>
  </r>
  <r>
    <d v="2026-01-07T00:00:00"/>
    <s v="CAROL LILIANA RAMIREZ"/>
    <n v="37749732"/>
    <x v="6"/>
    <s v="https://drive.google.com/drive/folders/1RxJbrxWBzthqZHQueCLLdBvtCuR8JACh?usp=sharing"/>
    <n v="3232064022"/>
    <x v="1"/>
    <s v="Santander"/>
    <s v="Bucaramanga"/>
    <m/>
    <s v="RCE_260109_12"/>
    <d v="2026-01-13T00:00:00"/>
    <s v="No"/>
    <s v="Equipo Nacional"/>
    <s v="No"/>
  </r>
  <r>
    <s v="10/01/2026_x000a_16/03/2026"/>
    <s v="Jessica Lorena Martínez Espejo"/>
    <n v="1014299014"/>
    <x v="1"/>
    <s v="https://drive.google.com/drive/folders/1z2W7PtHwJBpPPShxmMhspaNp70jgw1Wr?usp=sharing"/>
    <s v="3143000442 - 3222688388"/>
    <x v="4"/>
    <s v="Bogotá"/>
    <s v="Bogotá"/>
    <m/>
    <s v="RCE_260114_15_x000a_ RCE_260318_75"/>
    <d v="2026-01-17T00:00:00"/>
    <s v="No"/>
    <s v="Equipo Técnico Territorial"/>
    <s v="No"/>
  </r>
  <r>
    <d v="2026-01-10T00:00:00"/>
    <s v="YESSICA PAOLA MARTINEZ COCA"/>
    <n v="1030675464"/>
    <x v="5"/>
    <s v="https://drive.google.com/drive/folders/1rLm7udOqsN79qDVVPHs2j0YOPT79GoNM?usp=sharing"/>
    <n v="3172962024"/>
    <x v="0"/>
    <s v="Bogotá"/>
    <s v="Bogotá"/>
    <m/>
    <s v="RCE_260115_16"/>
    <d v="2026-01-17T00:00:00"/>
    <s v="No"/>
    <s v="Equipo Nacional"/>
    <s v="No"/>
  </r>
  <r>
    <d v="2026-01-10T00:00:00"/>
    <s v="ISIDRO RAFAEL PETIT MOLINA"/>
    <n v="1065852706"/>
    <x v="1"/>
    <s v="https://drive.google.com/drive/folders/15QE4_CfTDee0GxSOJn5yUegNpiyQ_lZ1?usp=sharing"/>
    <n v="3168965334"/>
    <x v="2"/>
    <s v="Cesar"/>
    <e v="#REF!"/>
    <m/>
    <s v="RCE_260115_16"/>
    <d v="2026-01-17T00:00:00"/>
    <s v="No"/>
    <s v="Equipo Técnico Territorial"/>
    <s v="No"/>
  </r>
  <r>
    <d v="2026-01-10T00:00:00"/>
    <s v="Lina Paola Quintero Cuadros"/>
    <n v="1070009009"/>
    <x v="1"/>
    <s v="https://drive.google.com/drive/folders/1gin_M_PrYMjw0MsNVPUbyFX6XAyAvQQ6?usp=sharing"/>
    <n v="3133629181"/>
    <x v="4"/>
    <s v="Cundinamarca"/>
    <s v="Cajicá"/>
    <m/>
    <s v="RCE_260115_16"/>
    <d v="2026-01-17T00:00:00"/>
    <s v="No"/>
    <s v="Equipo Técnico Territorial"/>
    <s v="No"/>
  </r>
  <r>
    <d v="2026-01-10T00:00:00"/>
    <s v="LUISA MARIA QUINAYAS"/>
    <n v="1112463220"/>
    <x v="1"/>
    <s v="https://drive.google.com/drive/folders/1Z61XQ44UIVJsHinAnnpl4vY_5e9WQf0j?usp=sharing"/>
    <s v="316 506 2284"/>
    <x v="3"/>
    <s v="Valle del cauca"/>
    <s v="Cali"/>
    <m/>
    <s v="RCE_260115_16"/>
    <d v="2026-01-17T00:00:00"/>
    <s v="No"/>
    <s v="Equipo Técnico Territorial"/>
    <s v="No"/>
  </r>
  <r>
    <d v="2026-01-16T00:00:00"/>
    <s v="FIDEL NAVARRO GUTIÉRREZ"/>
    <n v="8757556"/>
    <x v="2"/>
    <s v="https://drive.google.com/drive/folders/1y-iIlpo2Ge6O7a3bUvNNJhG_8iKCUT3P?usp=sharing"/>
    <n v="3205660310"/>
    <x v="0"/>
    <s v="Bogotá"/>
    <s v="Bogotá"/>
    <m/>
    <s v="RCE_260120_21"/>
    <d v="2026-01-21T00:00:00"/>
    <s v="No"/>
    <s v="Equipo Técnico Territorial"/>
    <s v="No"/>
  </r>
  <r>
    <d v="2026-01-16T00:00:00"/>
    <s v="GALAXYS CORPUS ARRIETA"/>
    <n v="1102876117"/>
    <x v="2"/>
    <s v="https://drive.google.com/drive/folders/1onMb-79x1wPAW4jDGu5YovkdUm8_3KSu?usp=sharing"/>
    <n v="3107969446"/>
    <x v="0"/>
    <s v="Boyacá"/>
    <e v="#REF!"/>
    <m/>
    <s v="RCE_260120_21"/>
    <d v="2026-01-27T00:00:00"/>
    <s v="No"/>
    <s v="Equipo Técnico Territorial"/>
    <s v="No"/>
  </r>
  <r>
    <d v="2026-01-16T00:00:00"/>
    <s v="JESÚS HUMBERTO GUZMÁN SANTAMARIA"/>
    <n v="93235752"/>
    <x v="1"/>
    <s v="https://drive.google.com/drive/folders/1g5TftoMXFskf_0fLxxWXLVUJhVKRozan?usp=sharing"/>
    <n v="3174377167"/>
    <x v="4"/>
    <s v="Tolima"/>
    <s v="Ibagué"/>
    <m/>
    <s v="RCE_260120_22"/>
    <d v="2026-01-27T00:00:00"/>
    <s v="No"/>
    <s v="Equipo Técnico Territorial"/>
    <s v="No"/>
  </r>
  <r>
    <d v="2026-01-19T00:00:00"/>
    <s v="JHON FREDDY MEJÍA ROJAS "/>
    <n v="1107064993"/>
    <x v="1"/>
    <s v="https://drive.google.com/drive/folders/1yicYjDvOcqFAZALiB9NgTgTy4aqCvEZr?usp=sharing"/>
    <s v="310 362 4086"/>
    <x v="3"/>
    <s v="Valle del Cauca"/>
    <e v="#REF!"/>
    <m/>
    <s v="RCE_260121_23"/>
    <d v="2026-01-27T00:00:00"/>
    <s v="No"/>
    <s v="Equipo Técnico Territorial"/>
    <s v="No"/>
  </r>
  <r>
    <d v="2026-01-19T00:00:00"/>
    <s v="MARCO TULIO RUIZ DAZA "/>
    <n v="18969095"/>
    <x v="2"/>
    <s v="https://drive.google.com/drive/folders/1drYIDHaLtvb_I4siU9kVJi1dwZ-3EahP?usp=sharing"/>
    <n v="3145209209"/>
    <x v="2"/>
    <s v="Cesar"/>
    <s v="valledupar"/>
    <m/>
    <s v="RCE_260121_23"/>
    <d v="2026-01-27T00:00:00"/>
    <s v="No"/>
    <s v="Equipo Técnico Territorial"/>
    <s v="No"/>
  </r>
  <r>
    <d v="2026-01-19T00:00:00"/>
    <s v="MARÍA ALEJANDRA GÓMEZ UYABÁN"/>
    <n v="1018454975"/>
    <x v="2"/>
    <s v="https://drive.google.com/drive/folders/10hqCytxwe6NHmVFjttKN9S39XOxbhHg8?usp=sharing"/>
    <n v="3508569237"/>
    <x v="0"/>
    <s v="Bogotá"/>
    <s v="Bogotá"/>
    <m/>
    <s v="RCE_260121_23"/>
    <d v="2026-01-27T00:00:00"/>
    <s v="No"/>
    <s v="Equipo Técnico Territorial"/>
    <s v="No"/>
  </r>
  <r>
    <d v="2026-01-19T00:00:00"/>
    <s v="DANIEL ALEJANDRO GÓMEZ DURAN"/>
    <n v="1072708789"/>
    <x v="2"/>
    <s v="https://drive.google.com/drive/folders/1yHZGCzt0N1OdAL7o8RsdBdssyZeN_XvG?usp=sharing"/>
    <n v="3006623020"/>
    <x v="0"/>
    <s v="Bogotá"/>
    <s v="Bogotá"/>
    <m/>
    <s v="RCE_260121_23"/>
    <d v="2026-01-27T00:00:00"/>
    <s v="No"/>
    <s v="Equipo Técnico Territorial"/>
    <s v="No"/>
  </r>
  <r>
    <d v="2026-01-19T00:00:00"/>
    <s v="LUIS DAVID ARANGO BETANCUR "/>
    <n v="1152457333"/>
    <x v="2"/>
    <s v="https://drive.google.com/drive/folders/1NMyOnTz215g7u236XuVqzcFRTUKjTr4m?usp=sharing"/>
    <n v="3046315093"/>
    <x v="3"/>
    <s v="Chocó"/>
    <e v="#REF!"/>
    <m/>
    <s v="RCE_260121_23"/>
    <d v="2026-01-27T00:00:00"/>
    <s v="No"/>
    <s v="Equipo Técnico Territorial"/>
    <s v="No"/>
  </r>
  <r>
    <d v="2026-01-19T00:00:00"/>
    <s v="PAOLA ANDREA GARCIA BELALCAZAR"/>
    <n v="34319984"/>
    <x v="2"/>
    <s v="https://drive.google.com/drive/folders/1wBf5OmfSGkA_J_PMPKlfyQTJUL6Wbkxo?usp=sharing"/>
    <n v="3208069598"/>
    <x v="3"/>
    <s v="cauca"/>
    <s v="Popayán"/>
    <m/>
    <s v="RCE_260122_26"/>
    <d v="2026-01-27T00:00:00"/>
    <s v="No"/>
    <s v="Equipo Técnico Territorial"/>
    <s v="No"/>
  </r>
  <r>
    <d v="2026-01-19T00:00:00"/>
    <s v="EDER LUIS VILLERA ARAUJO"/>
    <n v="78038151"/>
    <x v="2"/>
    <s v="https://drive.google.com/drive/folders/1XwoC0FsYcqsyhPo_xGT3kC5quVfQ6uqf?usp=sharing"/>
    <s v="3114263266-3135801423"/>
    <x v="2"/>
    <s v="Córdoba"/>
    <e v="#REF!"/>
    <m/>
    <s v="RCE_260122_26"/>
    <d v="2026-01-27T00:00:00"/>
    <s v="No"/>
    <s v="Equipo Técnico Territorial"/>
    <s v="No"/>
  </r>
  <r>
    <d v="2026-01-19T00:00:00"/>
    <s v="ALEJAJANDRO SERRANO AGUDELO"/>
    <n v="79873274"/>
    <x v="2"/>
    <s v="https://drive.google.com/drive/folders/1HuNkxMHezgyzVZR-EYRaSvny5j4Pv0dz?usp=sharing"/>
    <s v="300 485 1573"/>
    <x v="0"/>
    <s v="Bogotá"/>
    <s v="Bogotá"/>
    <m/>
    <s v="RCE_260122_26"/>
    <d v="2026-01-27T00:00:00"/>
    <s v="No"/>
    <s v="Equipo Técnico Territorial"/>
    <s v="No"/>
  </r>
  <r>
    <d v="2026-01-19T00:00:00"/>
    <s v="JOSÉ GABRIEL CAMPUZANO ESCOBAR"/>
    <n v="1053786431"/>
    <x v="2"/>
    <s v="https://drive.google.com/drive/folders/1RZ4aStXKCgKYMUgX90dOmrsTy_MHZojd?usp=sharing"/>
    <n v="3217654595"/>
    <x v="4"/>
    <s v="Cundinamarca"/>
    <e v="#REF!"/>
    <m/>
    <s v="RCE_260122_26"/>
    <d v="2026-01-27T00:00:00"/>
    <s v="No"/>
    <s v="Equipo Técnico Territorial"/>
    <s v="No"/>
  </r>
  <r>
    <d v="2026-01-10T00:00:00"/>
    <s v="MARIBEL BARAJAS ORTIZ"/>
    <n v="63395573"/>
    <x v="1"/>
    <s v="https://drive.google.com/drive/folders/12Tp5QilWeNDssUEs0YKBX1wZpUGIVqMO?usp=sharing"/>
    <n v="3204462342"/>
    <x v="1"/>
    <s v="Santander"/>
    <s v="Málaga"/>
    <m/>
    <s v="RCE_260122_30"/>
    <d v="2026-01-17T00:00:00"/>
    <s v="No"/>
    <s v="Equipo Técnico Territorial"/>
    <s v="No"/>
  </r>
  <r>
    <d v="2026-01-23T00:00:00"/>
    <s v="Liliana Yasmín Quitian Peña "/>
    <n v="52360169"/>
    <x v="2"/>
    <s v="https://drive.google.com/drive/folders/1KrQ35z4gDPSyZorPuEKWrO1oDUNIKTau?usp=sharing"/>
    <n v="3118555568"/>
    <x v="0"/>
    <s v="Bogotá"/>
    <s v="Bogotá"/>
    <m/>
    <s v="RCE_260127_32"/>
    <d v="2026-02-09T00:00:00"/>
    <s v="No"/>
    <s v="Equipo Técnico Territorial"/>
    <s v="No"/>
  </r>
  <r>
    <d v="2026-01-23T00:00:00"/>
    <s v="Mariana Duarte Duarte "/>
    <n v="1000699238"/>
    <x v="2"/>
    <s v="https://drive.google.com/drive/folders/1-6VokM-OlhbjZOpvh5vnj9FztL_-XIZt?usp=sharing"/>
    <n v="3236811102"/>
    <x v="0"/>
    <s v="Bogotá"/>
    <s v="Bogotá"/>
    <m/>
    <s v="RCE_260127_32"/>
    <d v="2026-02-09T00:00:00"/>
    <s v="No"/>
    <s v="Equipo Técnico Territorial"/>
    <s v="No"/>
  </r>
  <r>
    <d v="2026-01-23T00:00:00"/>
    <s v="YHEY MAYHISNY MATURANA CORREA"/>
    <n v="1078180577"/>
    <x v="2"/>
    <s v="https://drive.google.com/drive/folders/1itgVqRc1hu-G753Nt5iD4huxonLXVJW2?usp=sharing"/>
    <n v="3207688387"/>
    <x v="3"/>
    <s v="Chocó"/>
    <e v="#REF!"/>
    <m/>
    <s v="RCE_260127_32"/>
    <d v="2026-02-09T00:00:00"/>
    <s v="No"/>
    <s v="Equipo Técnico Territorial"/>
    <s v="No"/>
  </r>
  <r>
    <d v="2026-01-28T00:00:00"/>
    <s v="JUAN CARLOS ALFONSO MARTINEZ"/>
    <n v="79639492"/>
    <x v="1"/>
    <s v="https://drive.google.com/drive/folders/1eym3Sn0MmayXC52D9x1LJz1VXbpSYel0?usp=sharing"/>
    <n v="3028208812"/>
    <x v="0"/>
    <s v="Bogotá"/>
    <s v="Bogotá"/>
    <m/>
    <s v="RCE_260131_36"/>
    <d v="2026-02-09T00:00:00"/>
    <s v="No"/>
    <s v="Equipo Técnico Territorial"/>
    <s v="No"/>
  </r>
  <r>
    <d v="2026-01-28T00:00:00"/>
    <s v="Flor Maria Garizabalo Villalobos"/>
    <n v="32890817"/>
    <x v="2"/>
    <s v="https://drive.google.com/drive/folders/1CYi5ibORQXLTWlRXo3Xxu9U5dSFq2XCi?usp=sharing"/>
    <n v="3332283189"/>
    <x v="2"/>
    <s v="Atlántico"/>
    <e v="#REF!"/>
    <m/>
    <s v="RCE_260131_36"/>
    <d v="2026-02-09T00:00:00"/>
    <s v="No"/>
    <s v="Equipo Técnico Territorial"/>
    <s v="No"/>
  </r>
  <r>
    <d v="2026-01-28T00:00:00"/>
    <s v="JEIMY CECILI AVILA MORENO"/>
    <n v="1012359064"/>
    <x v="2"/>
    <s v="https://drive.google.com/drive/folders/1T7Q_BMtVxF9QWZ5YIT1j9Y66ME6IYyjP?usp=sharing"/>
    <n v="3232846025"/>
    <x v="0"/>
    <s v="Bogotá"/>
    <s v="Bogotá"/>
    <m/>
    <s v="RCE_260131_36"/>
    <d v="2026-02-09T00:00:00"/>
    <s v="No"/>
    <s v="Equipo Técnico Territorial"/>
    <s v="No"/>
  </r>
  <r>
    <d v="2026-01-28T00:00:00"/>
    <s v="Ana Sofia Urrego"/>
    <n v="1014279405"/>
    <x v="2"/>
    <s v="https://drive.google.com/drive/folders/1Fw4R05njqKd9JL8EZd0WWwx1mnWOkrn6?usp=sharing"/>
    <n v="3193346258"/>
    <x v="0"/>
    <s v="Bogotá"/>
    <s v="Bogotá"/>
    <m/>
    <s v="RCE_260131_36"/>
    <d v="2026-02-09T00:00:00"/>
    <s v="No"/>
    <s v="Equipo Técnico Territorial"/>
    <s v="No"/>
  </r>
  <r>
    <d v="2026-01-28T00:00:00"/>
    <s v="Nicolás Perilla Hernández"/>
    <n v="1022399368"/>
    <x v="2"/>
    <s v="https://drive.google.com/drive/folders/1mYeTrMr9fVMupbgBH03WICRu8WdcNHp1?usp=sharing"/>
    <n v="3212368067"/>
    <x v="0"/>
    <s v="Bogotá"/>
    <s v="Bogotá"/>
    <m/>
    <s v="RCE_260131_36"/>
    <d v="2026-02-09T00:00:00"/>
    <s v="No"/>
    <s v="Equipo Técnico Territorial"/>
    <s v="No"/>
  </r>
  <r>
    <d v="2026-01-28T00:00:00"/>
    <s v="Michel Vannesa Farfan Martinez"/>
    <n v="1073170717"/>
    <x v="2"/>
    <s v="https://drive.google.com/drive/folders/1v7OoxPaSbTd9xiJ42U1gu9imoUYICFLP?usp=sharing"/>
    <n v="3214000100"/>
    <x v="0"/>
    <s v="Bogotá"/>
    <s v="Bogotá"/>
    <m/>
    <s v="RCE_260131_36"/>
    <d v="2026-02-09T00:00:00"/>
    <s v="No"/>
    <s v="Equipo Técnico Territorial"/>
    <s v="No"/>
  </r>
  <r>
    <d v="2026-01-28T00:00:00"/>
    <s v="Mireya Martinez Guzman"/>
    <n v="1074556969"/>
    <x v="2"/>
    <s v="https://drive.google.com/drive/folders/1zHHfeBD7lBKloYhPFqd6M97QSMUoV_WN?usp=sharing"/>
    <n v="3222381473"/>
    <x v="0"/>
    <s v="Bogotá"/>
    <s v="Bogotá"/>
    <m/>
    <s v="RCE_260131_36"/>
    <d v="2026-02-09T00:00:00"/>
    <s v="No"/>
    <s v="Equipo Técnico Territorial"/>
    <s v="No"/>
  </r>
  <r>
    <d v="2026-01-28T00:00:00"/>
    <s v="Maria de los Angeles Sierra Perez"/>
    <n v="1118870724"/>
    <x v="2"/>
    <s v="https://drive.google.com/drive/folders/1cA17wzrBGghm99gAq8FkEnVQomgNbgNl?usp=sharing"/>
    <n v="3006346691"/>
    <x v="2"/>
    <s v="La Guajira"/>
    <e v="#REF!"/>
    <m/>
    <s v="RCE_260131_36"/>
    <d v="2026-02-09T00:00:00"/>
    <s v="No"/>
    <s v="Equipo Técnico Territorial"/>
    <s v="No"/>
  </r>
  <r>
    <d v="2026-01-28T00:00:00"/>
    <s v="Gabriela Calderon Sarmiento"/>
    <n v="1192894272"/>
    <x v="2"/>
    <s v="https://drive.google.com/drive/folders/1-nCjeEEPwM7nCQGAXYfXq6N5ZJOkVus_?usp=sharing"/>
    <n v="3208695087"/>
    <x v="0"/>
    <s v="Bogotá"/>
    <s v="Bogotá"/>
    <m/>
    <s v="RCE_260131_36"/>
    <d v="2026-02-09T00:00:00"/>
    <s v="No"/>
    <s v="Equipo Técnico Territorial"/>
    <s v="No"/>
  </r>
  <r>
    <d v="2026-02-03T00:00:00"/>
    <s v="Miguel Ángel Albarracin Rojas"/>
    <n v="1057164219"/>
    <x v="1"/>
    <s v="https://drive.google.com/drive/folders/1yfhvOpcM19mTBww_gu5-JLXCTw78tR9N?usp=sharing"/>
    <n v="3204214477"/>
    <x v="0"/>
    <s v="Bogotá"/>
    <s v="Bogotá"/>
    <m/>
    <s v="RCE_260205_40"/>
    <d v="2026-02-09T00:00:00"/>
    <s v="No"/>
    <s v="Equipo Técnico Territorial"/>
    <s v="No"/>
  </r>
  <r>
    <s v="3/02/2026_x000a_13/02/2026"/>
    <s v="Leidy Tatiana Castro Moreno"/>
    <n v="1070970849"/>
    <x v="1"/>
    <s v="https://drive.google.com/drive/folders/1iF1spnRVP9b4-NZmykDlx0_cbNLWYm99?usp=sharing"/>
    <s v="312 7219584"/>
    <x v="0"/>
    <s v="Bogotá"/>
    <s v="Bogotá"/>
    <m/>
    <s v="RCE_260205_40_x000a_RCE_260223_61"/>
    <d v="2026-02-09T00:00:00"/>
    <s v="No"/>
    <s v="Equipo Técnico Territorial"/>
    <s v="No"/>
  </r>
  <r>
    <d v="2026-02-03T00:00:00"/>
    <s v="María Camelia Del Pilar Jiménez Falla"/>
    <n v="1019090994"/>
    <x v="2"/>
    <s v="https://drive.google.com/drive/folders/1TGTNL_jM_JuuJW0srnj6kjY5I7DaX7lT?usp=sharing"/>
    <n v="3185535655"/>
    <x v="0"/>
    <s v="Bogotá"/>
    <s v="Bogotá"/>
    <m/>
    <s v="RCE_260206_42"/>
    <d v="2026-02-10T00:00:00"/>
    <s v="No"/>
    <s v="Equipo Técnico Territorial"/>
    <s v="No"/>
  </r>
  <r>
    <d v="2026-02-03T00:00:00"/>
    <s v="Erika Viviana Trujillo Angulo "/>
    <n v="1075247000"/>
    <x v="1"/>
    <s v="https://drive.google.com/drive/folders/10K6xkar7xd0XAd218S7K9en6hnDzSanU?usp=sharing"/>
    <n v="3184254778"/>
    <x v="0"/>
    <s v="Huila"/>
    <s v="Neiva"/>
    <m/>
    <s v="RCE_260206_42"/>
    <d v="2026-02-10T00:00:00"/>
    <s v="No"/>
    <s v="Equipo Técnico Territorial"/>
    <s v="No"/>
  </r>
  <r>
    <d v="2026-02-03T00:00:00"/>
    <s v="Yamile Díaz Rodríguez "/>
    <n v="1067849361"/>
    <x v="1"/>
    <s v="https://drive.google.com/drive/folders/1adx1KImcfoSu5VYQ4Mj1kT4n6a8s_iBC?usp=sharing"/>
    <n v="3023016504"/>
    <x v="2"/>
    <s v="Córdoba"/>
    <s v="Montería"/>
    <m/>
    <s v="RCE_260206_42_x000a_RCE_260220_56"/>
    <d v="2026-02-10T00:00:00"/>
    <s v="No"/>
    <s v="Equipo Técnico Territorial"/>
    <s v="No"/>
  </r>
  <r>
    <s v="3/02/2026_x000a_13/02/2026"/>
    <s v="Walter Javier Moreno Castro"/>
    <n v="1022360933"/>
    <x v="7"/>
    <s v="https://drive.google.com/drive/folders/1a3K4h6nWFlnS33amh2y0U_oze2cFtKbg?usp=sharing"/>
    <n v="3202631537"/>
    <x v="4"/>
    <s v="Cundinamarca"/>
    <s v="Soacha"/>
    <m/>
    <s v="RCE_260209_44_x000a_RCE_260217_54"/>
    <m/>
    <s v="No"/>
    <s v="Equipo Nacional"/>
    <s v="No"/>
  </r>
  <r>
    <d v="2026-02-03T00:00:00"/>
    <s v="Mabel Natalia Mancilla Escucha"/>
    <n v="1233897996"/>
    <x v="2"/>
    <s v="https://drive.google.com/drive/folders/1vc1Pv2iF_SHo1haci9Gbw3a6uRk9J8PE?usp=sharing"/>
    <n v="3143737256"/>
    <x v="0"/>
    <s v="Bogotá"/>
    <s v="Bogotá"/>
    <m/>
    <s v="RCE_260210_47"/>
    <m/>
    <s v="No"/>
    <s v="Equipo Técnico Territorial"/>
    <s v="No"/>
  </r>
  <r>
    <d v="2026-02-09T00:00:00"/>
    <s v="Luis Alberto Pineda Florian"/>
    <n v="1124076999"/>
    <x v="2"/>
    <s v="https://drive.google.com/drive/folders/19ypW8X8hJPXb0BGCUHodsZbjwJnv4Kwc?usp=sharing"/>
    <n v="3045640656"/>
    <x v="2"/>
    <s v="Cesar"/>
    <s v="Valledupar"/>
    <m/>
    <s v="RCE_260211_48"/>
    <d v="2026-02-16T00:00:00"/>
    <s v="No"/>
    <s v="Equipo Técnico Territorial"/>
    <s v="No"/>
  </r>
  <r>
    <d v="2026-02-09T00:00:00"/>
    <s v="Edmundo Valencia Alegria"/>
    <n v="16494633"/>
    <x v="2"/>
    <s v="https://drive.google.com/drive/folders/1NoTySi_W0mSLQbruKh_7-StTkYNnexrC?usp=sharing"/>
    <n v="3167513036"/>
    <x v="3"/>
    <s v="Valle del Cauca"/>
    <s v="Buenaventura"/>
    <m/>
    <s v="RCE_260211_48"/>
    <d v="2026-02-16T00:00:00"/>
    <s v="No"/>
    <s v="Equipo Técnico Territorial"/>
    <s v="No"/>
  </r>
  <r>
    <d v="2026-02-09T00:00:00"/>
    <s v="Cindy Paola Moreno Cruz"/>
    <n v="1013613271"/>
    <x v="2"/>
    <s v="https://drive.google.com/drive/folders/1uHNCH5SgAZ6lZVAKAuAhPpcX2nx9Nn76?usp=sharing"/>
    <n v="3208786742"/>
    <x v="0"/>
    <s v="Bogotá"/>
    <s v="Bogotá"/>
    <m/>
    <s v="RCE_260211_48"/>
    <d v="2026-02-16T00:00:00"/>
    <s v="No"/>
    <s v="Equipo Técnico Territorial"/>
    <s v="No"/>
  </r>
  <r>
    <d v="2026-02-09T00:00:00"/>
    <s v="DAVID ALFONSO CANDELARIO GUERRERO"/>
    <n v="1082928869"/>
    <x v="1"/>
    <s v="https://drive.google.com/drive/folders/1kwpRWkaBFrDD6WUxjeFiRKXI5QHleA7r?usp=sharing"/>
    <s v="310 729 0126 - 301 426 6361"/>
    <x v="2"/>
    <s v="Magdalena"/>
    <s v="Santa Marta"/>
    <m/>
    <s v="RCE_260211_48"/>
    <d v="2026-02-16T00:00:00"/>
    <s v="No"/>
    <s v="Equipo Técnico Territorial"/>
    <s v="No"/>
  </r>
  <r>
    <d v="2026-02-09T00:00:00"/>
    <s v="MICHAEL MC DONALD HARDING LOZANO"/>
    <n v="1082977834"/>
    <x v="1"/>
    <s v="https://drive.google.com/drive/folders/1vvr3fbIWfifpOxvCBeua26E-vC5eU-yp?usp=sharing"/>
    <n v="3103719283"/>
    <x v="2"/>
    <s v="Magdalena"/>
    <s v="Santa Marta"/>
    <m/>
    <s v="RCE_260211_48"/>
    <d v="2026-02-16T00:00:00"/>
    <s v="No"/>
    <s v="Equipo Técnico Territorial"/>
    <s v="No"/>
  </r>
  <r>
    <d v="2026-02-09T00:00:00"/>
    <s v="María José Landázuri Mairongo"/>
    <n v="1087131491"/>
    <x v="1"/>
    <s v="https://drive.google.com/drive/folders/1lRnqa8jSDMwg9ZU6avqSov-WeigiD2U-?usp=sharing"/>
    <s v="3217461748 / 3042483803 Wpp"/>
    <x v="3"/>
    <s v="Nariño"/>
    <s v="Tumaco"/>
    <m/>
    <s v="RCE_260211_48"/>
    <d v="2026-02-16T00:00:00"/>
    <s v="No"/>
    <s v="Equipo Técnico Territorial"/>
    <s v="No"/>
  </r>
  <r>
    <d v="2026-02-09T00:00:00"/>
    <s v="Gina Yoelis preciado molina"/>
    <n v="1087205754"/>
    <x v="1"/>
    <s v="https://drive.google.com/drive/folders/1mQUFrVn0cVzK6ja_wu7_LVTEdPNtRkOF?usp=sharing"/>
    <s v="313 725 6270"/>
    <x v="3"/>
    <s v="Nariño"/>
    <e v="#REF!"/>
    <m/>
    <s v="RCE_260211_48"/>
    <d v="2026-02-16T00:00:00"/>
    <s v="No"/>
    <s v="Equipo Técnico Territorial"/>
    <s v="No"/>
  </r>
  <r>
    <s v="9/02/2026_x000a_13/02/2026"/>
    <s v="José Javier castro Marquinez"/>
    <n v="1087126617"/>
    <x v="1"/>
    <s v="https://drive.google.com/drive/folders/1D-bjLmEnfamW2lSpKyfQtJukaKZK2PF4?usp=sharing"/>
    <s v="3185810016 – 7274045"/>
    <x v="3"/>
    <s v="Nariño"/>
    <s v="Tumaco"/>
    <m/>
    <s v="RCE_260211_48_x000a_RCE_260220_56 RCE_260318_75"/>
    <d v="2026-02-16T00:00:00"/>
    <s v="No"/>
    <s v="Equipo Técnico Territorial"/>
    <s v="No"/>
  </r>
  <r>
    <d v="2026-02-09T00:00:00"/>
    <s v="Laura Daniela Bravo Rojas"/>
    <n v="1089244842"/>
    <x v="1"/>
    <s v="https://drive.google.com/drive/folders/17xkrMjIMwuUwVZ4xAlqLF7YFIk2M2ayL?usp=sharing"/>
    <n v="3167540016"/>
    <x v="3"/>
    <s v="Nariño"/>
    <s v="Gualmatan"/>
    <m/>
    <s v="RCE_260212_51"/>
    <d v="2026-02-16T00:00:00"/>
    <s v="No"/>
    <s v="Equipo Técnico Territorial"/>
    <s v="No"/>
  </r>
  <r>
    <d v="2026-02-09T00:00:00"/>
    <s v="Yullie Nataly Canchon Lopez"/>
    <n v="1032417171"/>
    <x v="2"/>
    <s v="https://drive.google.com/drive/folders/1pp5MWYWPTL_XginRy2-pZjmVkqcn6ril?usp=sharing"/>
    <n v="3160503002"/>
    <x v="3"/>
    <s v="Nariño"/>
    <s v="Pasto"/>
    <m/>
    <s v="RCE_260212_51"/>
    <d v="2026-02-16T00:00:00"/>
    <s v="No"/>
    <s v="Equipo Técnico Territorial"/>
    <s v="No"/>
  </r>
  <r>
    <d v="2026-02-09T00:00:00"/>
    <s v="Mileidy Catalina Parra Paez"/>
    <n v="1013640659"/>
    <x v="2"/>
    <s v="https://drive.google.com/drive/folders/1N6fuxQUfoeORnv5oAcheaSglQit4XgRq?usp=sharing"/>
    <s v="322 460 1257"/>
    <x v="2"/>
    <s v="Sucre"/>
    <s v="Sincelejo"/>
    <m/>
    <s v="RCE_260212_51"/>
    <d v="2026-02-16T00:00:00"/>
    <s v="No"/>
    <s v="Equipo Técnico Territorial"/>
    <s v="No"/>
  </r>
  <r>
    <d v="2026-02-09T00:00:00"/>
    <s v="Yeimi Katherine Martinez Cifuentes"/>
    <n v="1016075085"/>
    <x v="2"/>
    <s v="https://drive.google.com/drive/folders/178FvzX9_jWds-OmHDjnigPBbs3svhTlJ?usp=sharing"/>
    <n v="3188759288"/>
    <x v="0"/>
    <s v="Bogotá"/>
    <s v="Bogotá"/>
    <m/>
    <s v="RCE_260212_51"/>
    <d v="2026-02-16T00:00:00"/>
    <s v="No"/>
    <s v="Equipo Técnico Territorial"/>
    <s v="No"/>
  </r>
  <r>
    <d v="2026-02-09T00:00:00"/>
    <s v="Mauricio Andres Cuastumal"/>
    <n v="1087007008"/>
    <x v="1"/>
    <s v="https://drive.google.com/drive/folders/1tldSidiy5CWQ3ov0Lub0FzbSqJ7OmAbh?usp=sharing"/>
    <n v="3106318763"/>
    <x v="3"/>
    <s v="Nariño"/>
    <s v="Pasto"/>
    <m/>
    <s v="RCE_260213_52"/>
    <m/>
    <s v="No"/>
    <s v="Equipo Técnico Territorial"/>
    <s v="No"/>
  </r>
  <r>
    <d v="2026-02-09T00:00:00"/>
    <s v="Jairo Javier Anaya Barrios"/>
    <n v="11039803"/>
    <x v="1"/>
    <s v="https://drive.google.com/drive/folders/1A6nTtO0eeVcptNhDbO-FDBmYyJzBklJ8?usp=sharing"/>
    <s v="3143807141 - 3127935094"/>
    <x v="3"/>
    <s v="Antioquia"/>
    <s v="El Bagre"/>
    <m/>
    <s v="RCE_260213_52"/>
    <m/>
    <s v="No"/>
    <s v="Equipo Técnico Territorial"/>
    <s v="No"/>
  </r>
  <r>
    <s v="13/02/2026_x000a_18/02/2026"/>
    <s v="KAREN VIVIANA CORTÉS GARZÓN"/>
    <n v="1012368271"/>
    <x v="0"/>
    <s v="https://drive.google.com/drive/folders/1KKkoZwaGvaGorkj3h-jIZKAfssL2HAkU?usp=sharing"/>
    <n v="3223929167"/>
    <x v="0"/>
    <s v="Bogotá"/>
    <s v="Bogotá"/>
    <m/>
    <s v="RCE_260217_54_x000a_RCE_260220_59"/>
    <d v="2026-02-23T00:00:00"/>
    <s v="No"/>
    <s v="Equipo Técnico Territorial"/>
    <s v="No"/>
  </r>
  <r>
    <d v="2026-02-20T00:00:00"/>
    <s v="John Jairo Avellaneda Rivera"/>
    <n v="1053604465"/>
    <x v="1"/>
    <s v="https://drive.google.com/drive/folders/1UlC3AcrkJS0tA-e4PJAa7exmsRjHdUlS?usp=sharing"/>
    <s v="310 791 5961"/>
    <x v="0"/>
    <s v="Huila"/>
    <s v="Garzón"/>
    <m/>
    <s v="RCE_260220_56"/>
    <d v="2026-02-23T00:00:00"/>
    <s v="No"/>
    <s v="Equipo Técnico Territorial"/>
    <s v="No"/>
  </r>
  <r>
    <d v="2026-02-20T00:00:00"/>
    <s v="Luis Enrique Bravo Elvira"/>
    <n v="76326736"/>
    <x v="1"/>
    <s v="https://drive.google.com/drive/folders/1s0DZ8tZDltM9munwcSiMpLZrjpC8PWrB?usp=sharing"/>
    <n v="3146921623"/>
    <x v="3"/>
    <s v="Cauca"/>
    <e v="#REF!"/>
    <m/>
    <s v="RCE_260220_56"/>
    <d v="2026-02-23T00:00:00"/>
    <s v="No"/>
    <s v="Equipo Técnico Territorial"/>
    <s v="No"/>
  </r>
  <r>
    <d v="2026-02-20T00:00:00"/>
    <s v="Gustavo Rodríguez Correa"/>
    <n v="1028031813"/>
    <x v="1"/>
    <s v="https://drive.google.com/drive/folders/1QP836_b7VegvsA62BkSb3epf4Ibg6LZK?usp=sharing"/>
    <n v="3147720581"/>
    <x v="3"/>
    <s v="Antioquia"/>
    <s v="Apartadó"/>
    <m/>
    <s v="RCE_260220_56"/>
    <d v="2026-02-23T00:00:00"/>
    <s v="No"/>
    <s v="Equipo Técnico Territorial"/>
    <s v="No"/>
  </r>
  <r>
    <d v="2026-02-20T00:00:00"/>
    <s v="Conny Libeth Gutierrez Fierro"/>
    <n v="1079179284"/>
    <x v="1"/>
    <s v="https://drive.google.com/drive/folders/1RMnVM98hyVcJ185KULXydnfl1Arjg4k-?usp=sharing"/>
    <n v="3213065792"/>
    <x v="0"/>
    <s v="Huila"/>
    <s v="Campoalegre"/>
    <m/>
    <s v="RCE_260220_56"/>
    <d v="2026-02-23T00:00:00"/>
    <s v="No"/>
    <s v="Equipo Técnico Territorial"/>
    <s v="No"/>
  </r>
  <r>
    <d v="2026-02-20T00:00:00"/>
    <s v="Julian Camilo Conde Bonilla"/>
    <n v="1075250066"/>
    <x v="1"/>
    <s v="https://drive.google.com/drive/folders/1IwRchS1JPAAv90N_WUJbfH9XIN5Xc5K0?usp=sharing"/>
    <n v="3157621575"/>
    <x v="0"/>
    <s v="Huila"/>
    <s v="Neiva"/>
    <m/>
    <s v="RCE_260220_56"/>
    <d v="2026-02-23T00:00:00"/>
    <s v="No"/>
    <s v="Equipo Técnico Territorial"/>
    <s v="No"/>
  </r>
  <r>
    <d v="2026-02-20T00:00:00"/>
    <s v="Cesar Alirio Rodriguez Garcia"/>
    <n v="77230090"/>
    <x v="1"/>
    <s v="https://drive.google.com/drive/folders/1jWv8AetNT-bWx_OUyQpZUe-r2AP5lzVt?usp=sharing"/>
    <s v="3143618888-3009918190"/>
    <x v="0"/>
    <s v="Huila"/>
    <s v="Neiva"/>
    <m/>
    <s v="RCE_260220_56"/>
    <d v="2026-02-23T00:00:00"/>
    <s v="No"/>
    <s v="Equipo Técnico Territorial"/>
    <s v="No"/>
  </r>
  <r>
    <d v="2026-02-20T00:00:00"/>
    <s v="FABIAN ANDRES REYES"/>
    <n v="12266306"/>
    <x v="1"/>
    <s v="https://drive.google.com/drive/folders/1LehDR8zGzJixo0JAaCtyYVyOtwabp5_O?usp=sharing"/>
    <n v="3158156658"/>
    <x v="0"/>
    <s v="Huila"/>
    <s v="Pitalito"/>
    <m/>
    <s v="RCE_260220_56"/>
    <d v="2026-02-23T00:00:00"/>
    <s v="No"/>
    <s v="Equipo Técnico Territorial"/>
    <s v="No"/>
  </r>
  <r>
    <d v="2026-02-20T00:00:00"/>
    <s v="Andrés Alfonso Hurtado Acosta."/>
    <n v="76312186"/>
    <x v="1"/>
    <s v="https://drive.google.com/drive/folders/1X8o1U1hyFJjxmpYb80VCKnYk2td7aTIR?usp=sharing"/>
    <s v="320 3476246"/>
    <x v="3"/>
    <s v="Cauca"/>
    <s v="Popayán"/>
    <m/>
    <s v="RCE_260220_56"/>
    <d v="2026-02-23T00:00:00"/>
    <s v="No"/>
    <s v="Equipo Técnico Territorial"/>
    <s v="No"/>
  </r>
  <r>
    <d v="2026-02-20T00:00:00"/>
    <s v="Laura Camila Samboni Claros"/>
    <n v="1006508594"/>
    <x v="1"/>
    <s v="https://drive.google.com/drive/folders/1nAOeL7HI_a67r6Nka7fLH5ChzcEIQV2E?usp=sharing"/>
    <n v="3112594086"/>
    <x v="0"/>
    <s v="Caquetá"/>
    <e v="#REF!"/>
    <m/>
    <s v="RCE_260220_56"/>
    <d v="2026-02-23T00:00:00"/>
    <s v="No"/>
    <s v="Equipo Técnico Territorial"/>
    <s v="No"/>
  </r>
  <r>
    <d v="2026-02-20T00:00:00"/>
    <s v="EYMER MAURICIO OLARTE FRANCO"/>
    <n v="1010215164"/>
    <x v="2"/>
    <s v="https://drive.google.com/drive/folders/1pplkH45jOOETjC2UzclP_RY2xKwzXr9M?usp=sharing"/>
    <s v="304 306 0731 / 3202772268"/>
    <x v="4"/>
    <s v="Bogotá"/>
    <s v="Bogotá"/>
    <m/>
    <s v="RCE_260220_56"/>
    <d v="2026-02-23T00:00:00"/>
    <s v="No"/>
    <s v="Equipo Técnico Territorial"/>
    <s v="No"/>
  </r>
  <r>
    <d v="2026-02-20T00:00:00"/>
    <s v="NOREICY YISET NIEVES AMAYA"/>
    <n v="1023886427"/>
    <x v="2"/>
    <s v="https://drive.google.com/drive/folders/1OdXlVzrrIYR3EOftON3Vd5vW2XKp9cYp?usp=sharing"/>
    <n v="3187768432"/>
    <x v="3"/>
    <s v="Putumayo"/>
    <e v="#REF!"/>
    <m/>
    <s v="RCE_260220_56"/>
    <d v="2026-02-23T00:00:00"/>
    <s v="No"/>
    <s v="Equipo Técnico Territorial"/>
    <s v="No"/>
  </r>
  <r>
    <d v="2026-02-20T00:00:00"/>
    <s v="DELCY YISETH CASTRO CORTES"/>
    <n v="1111780999"/>
    <x v="2"/>
    <s v="https://drive.google.com/drive/folders/1P98iqOYdTCvRM86sEQ78-1yMbZM1lx8u?usp=sharing"/>
    <n v="3226400154"/>
    <x v="3"/>
    <s v="Valle del Cauca"/>
    <s v="Buenaventura"/>
    <m/>
    <s v="RCE_260220_56"/>
    <d v="2026-02-23T00:00:00"/>
    <s v="No"/>
    <s v="Equipo Técnico Territorial"/>
    <s v="No"/>
  </r>
  <r>
    <d v="2026-02-20T00:00:00"/>
    <s v="Adriana Marcela Álvarez Vega"/>
    <n v="31446351"/>
    <x v="2"/>
    <s v="https://drive.google.com/drive/folders/142X4FG2UEQ_r-iuI0aDZe3BXDJldgqkj?usp=sharing"/>
    <n v="3014582418"/>
    <x v="0"/>
    <s v="Bogotá"/>
    <s v="Bogotá"/>
    <m/>
    <s v="RCE_260220_56"/>
    <d v="2026-02-23T00:00:00"/>
    <s v="No"/>
    <s v="Equipo Técnico Territorial"/>
    <s v="No"/>
  </r>
  <r>
    <d v="2026-02-18T00:00:00"/>
    <s v="Karen Vanessa Laverde Angulo. "/>
    <n v="1023917401"/>
    <x v="3"/>
    <s v="https://drive.google.com/drive/folders/1gvubUHDSVkaZ6X27RTnSoVdb5MJDvI3G?usp=sharing"/>
    <s v="305 720 2353"/>
    <x v="3"/>
    <s v="Nariño"/>
    <e v="#REF!"/>
    <m/>
    <s v="RCE_260220_59"/>
    <m/>
    <s v="No"/>
    <s v="Equipo Nacional"/>
    <s v="No"/>
  </r>
  <r>
    <s v="20/02/2026_x000a_16/03/2026"/>
    <s v="Marylu Avellaneda Camrgo"/>
    <n v="27697036"/>
    <x v="1"/>
    <s v="https://drive.google.com/drive/folders/1yXCF8l1YQDbVODrwx5urWVkZPIRXGlRs?usp=sharing"/>
    <n v="3216303077"/>
    <x v="1"/>
    <s v="Norte de Santander"/>
    <s v="Cúcuta"/>
    <m/>
    <s v="RCE_260227_67_x000a_ RCE_260318_75"/>
    <m/>
    <s v="No"/>
    <s v="Equipo Técnico Territorial"/>
    <s v="No"/>
  </r>
  <r>
    <d v="2026-03-25T00:00:00"/>
    <s v="José Eduardo León Sánchez"/>
    <n v="1121710941"/>
    <x v="1"/>
    <s v="https://drive.google.com/drive/folders/1RSXEe5mKJaQfjjyIszozS4izfUc1drIU?usp=sharing"/>
    <n v="3137682961"/>
    <x v="0"/>
    <s v="Guainía"/>
    <s v="Inírida"/>
    <s v="RCE_260325_77"/>
    <m/>
    <m/>
    <s v="Sí"/>
    <s v="Equipo Técnico Territorial"/>
    <s v="No"/>
  </r>
  <r>
    <d v="2026-03-25T00:00:00"/>
    <s v="Arnoldo Echeverria Torres"/>
    <n v="91436305"/>
    <x v="1"/>
    <s v="https://drive.google.com/drive/folders/1JrntMK1SlbcZ2wAjnUftuY9gyBvS-LAW?usp=sharing"/>
    <s v="310 3509614 / 300 8976622"/>
    <x v="2"/>
    <s v="Atlántico"/>
    <s v="Dos Soledad"/>
    <s v="RCE_260325_77"/>
    <m/>
    <m/>
    <s v="Sí"/>
    <s v="Equipo Técnico Territorial"/>
    <s v="No"/>
  </r>
  <r>
    <d v="2026-03-25T00:00:00"/>
    <s v="Cindy Paola Sánchez Vasquez"/>
    <n v="1019063985"/>
    <x v="1"/>
    <s v="https://drive.google.com/drive/folders/1QLM3Npbrsog_ywmjRjSIHDDXxSPdoWq7?usp=sharing"/>
    <s v="310 3377155"/>
    <x v="0"/>
    <s v="Meta"/>
    <s v="Castillo"/>
    <s v="RCE_260325_77"/>
    <m/>
    <m/>
    <s v="Sí"/>
    <s v="Equipo Técnico Territorial"/>
    <s v="No"/>
  </r>
  <r>
    <d v="2026-03-25T00:00:00"/>
    <s v="Serna Valencia Fabian Andrés"/>
    <n v="1059596883"/>
    <x v="1"/>
    <s v="https://drive.google.com/drive/folders/1bg4QKO9D1h-vZ6rV1A3TYb1bXcBxiLTb?usp=sharing"/>
    <n v="3003767487"/>
    <x v="3"/>
    <s v="Cauca"/>
    <s v="Popayan"/>
    <s v="RCE_260325_77"/>
    <m/>
    <m/>
    <s v="Sí"/>
    <s v="Equipo Técnico Territorial"/>
    <s v="No"/>
  </r>
  <r>
    <d v="2026-03-25T00:00:00"/>
    <s v="Ahimelec Jácome Solano"/>
    <n v="1098750306"/>
    <x v="1"/>
    <s v="https://drive.google.com/drive/folders/13li8muV78AQeZWEtbK7Z-NSs3MSzOygC?usp=sharing"/>
    <n v="3163992408"/>
    <x v="1"/>
    <s v="Nariño"/>
    <s v="Pasto"/>
    <s v="RCE_260325_77"/>
    <m/>
    <m/>
    <s v="Sí"/>
    <s v="Equipo Técnico Territorial"/>
    <s v="No"/>
  </r>
  <r>
    <d v="2026-03-25T00:00:00"/>
    <s v="Marylu Avellaneda Camrgo"/>
    <n v="27697036"/>
    <x v="1"/>
    <s v="https://drive.google.com/drive/folders/1yXCF8l1YQDbVODrwx5urWVkZPIRXGlRs?usp=sharing"/>
    <s v="3216303077 - 3118489414"/>
    <x v="1"/>
    <s v="Norte de Santander"/>
    <s v="Cúcuta"/>
    <s v="RCE_260325_77"/>
    <m/>
    <m/>
    <s v="Sí"/>
    <s v="Equipo Técnico Territorial"/>
    <s v="No"/>
  </r>
  <r>
    <d v="2026-03-25T00:00:00"/>
    <s v="Diosemel Plata Villamizar"/>
    <n v="88033714"/>
    <x v="1"/>
    <s v="https://drive.google.com/drive/folders/1Dh55FHFBNhMgNmBQi-8aRrZxD85xJv5j?usp=sharing"/>
    <n v="3134854138"/>
    <x v="1"/>
    <s v="Norte de Santander"/>
    <s v="Convención"/>
    <s v="RCE_260325_77"/>
    <m/>
    <m/>
    <s v="Sí"/>
    <s v="Equipo Técnico Territorial"/>
    <s v="No"/>
  </r>
  <r>
    <d v="2026-03-25T00:00:00"/>
    <s v="Yessica Méndez"/>
    <n v="1090988078"/>
    <x v="1"/>
    <s v="https://drive.google.com/drive/folders/1QDpkl3J1wwtu__Wz-HZzUMxepzjifzXU?usp=sharing"/>
    <n v="3118953640"/>
    <x v="1"/>
    <s v="Norte de Santander"/>
    <s v="Convención"/>
    <s v="RCE_260325_77"/>
    <m/>
    <m/>
    <s v="Sí"/>
    <s v="Equipo Técnico Territorial"/>
    <s v="No"/>
  </r>
  <r>
    <d v="2026-03-25T00:00:00"/>
    <s v="Cristhian Marcel Paz Castillo"/>
    <n v="12749141"/>
    <x v="6"/>
    <s v="https://drive.google.com/drive/folders/1_51rF-wSRvrp-xsdsgSsdkPK_5-jVkOI?usp=sharing"/>
    <n v="3024347363"/>
    <x v="3"/>
    <s v="Nariño"/>
    <s v="Pasto"/>
    <s v="RCE_260325_77"/>
    <m/>
    <m/>
    <s v="Sí"/>
    <s v="Equipo Nacional"/>
    <s v="No"/>
  </r>
  <r>
    <d v="2026-03-25T00:00:00"/>
    <s v="Martha Mora Guerrero"/>
    <n v="1085903046"/>
    <x v="7"/>
    <s v="https://drive.google.com/drive/folders/1Qb7CThVl7CxoOZCBP3CjkPSx411V2x_U?usp=sharing"/>
    <n v="3002115581"/>
    <x v="3"/>
    <s v="Nariño"/>
    <s v="Pasto"/>
    <s v="RCE_260325_77"/>
    <m/>
    <m/>
    <s v="Sí"/>
    <s v="Equipo Técnico Territorial"/>
    <s v="No"/>
  </r>
  <r>
    <d v="2026-04-06T00:00:00"/>
    <s v="Maira Casas Rodriguez"/>
    <n v="1030558932"/>
    <x v="1"/>
    <s v="https://drive.google.com/drive/folders/1KqlbHuZMdmxPMVDLqZ24_xJHxcLTFv0Y?usp=sharing"/>
    <n v="3178903800"/>
    <x v="0"/>
    <s v="Bogotá"/>
    <s v="Bogotá"/>
    <s v="RCE_260408_79"/>
    <m/>
    <m/>
    <s v="Sí"/>
    <s v="Equipo Técnico Territorial"/>
    <s v="No"/>
  </r>
  <r>
    <d v="2026-04-06T00:00:00"/>
    <s v="Nahara Keyla Mussy Vega"/>
    <n v="64721391"/>
    <x v="1"/>
    <s v="https://drive.google.com/drive/folders/1Gm_Dy0hSejRiYTFQQVDYgbnDp4NVqlH5?usp=sharing"/>
    <n v="3114046181"/>
    <x v="2"/>
    <s v="Sucre"/>
    <s v="Sincelejo"/>
    <s v="RCE_260408_79"/>
    <m/>
    <m/>
    <s v="Sí"/>
    <s v="Equipo Técnico Territorial"/>
    <s v="No"/>
  </r>
  <r>
    <d v="2026-04-06T00:00:00"/>
    <s v="Jessica Lorena Martínez Espejo"/>
    <n v="1014299014"/>
    <x v="1"/>
    <s v="https://drive.google.com/drive/folders/1z2W7PtHwJBpPPShxmMhspaNp70jgw1Wr?usp=sharing"/>
    <s v="3143000442 - 3222688388"/>
    <x v="0"/>
    <s v="Bogotá"/>
    <s v="Bogotá"/>
    <s v="RCE_260408_79"/>
    <m/>
    <d v="2026-01-17T00:00:00"/>
    <s v="Sí"/>
    <s v="Equipo Técnico Territorial"/>
    <s v="No"/>
  </r>
  <r>
    <d v="2026-04-06T00:00:00"/>
    <s v="María José Pinzon Delgado"/>
    <n v="1075297239"/>
    <x v="6"/>
    <s v="https://drive.google.com/drive/folders/1X92KO1GZgycpC-BUUpL9hGC3HDVBpIMs?usp=sharing"/>
    <n v="3204503031"/>
    <x v="0"/>
    <s v="Bogotá"/>
    <s v="Bogotá"/>
    <s v="RCE_260408_79"/>
    <m/>
    <m/>
    <s v="Sí"/>
    <s v="Equipo Nacional"/>
    <s v="No"/>
  </r>
  <r>
    <d v="2026-04-06T00:00:00"/>
    <s v="Angelo Giovanni Santos Muñoz"/>
    <n v="98668020"/>
    <x v="1"/>
    <s v="https://drive.google.com/drive/folders/1gj_DFcERPUJ0ycrXevebvtAYgb8lVC7O?usp=sharing"/>
    <n v="3116300485"/>
    <x v="4"/>
    <s v="Risaralda"/>
    <s v="Pereira"/>
    <s v="RCE_260408_79"/>
    <m/>
    <m/>
    <s v="Sí"/>
    <s v="Equipo Técnico Territorial"/>
    <s v="No"/>
  </r>
  <r>
    <d v="2026-04-06T00:00:00"/>
    <s v="Amarilis Buelvas Naranjo"/>
    <n v="25914912"/>
    <x v="2"/>
    <s v="https://drive.google.com/drive/folders/1yTI_wZZfGIb0B4v6Zn3D15RgmMKKu_Rd?usp=sharing"/>
    <n v="3008760973"/>
    <x v="3"/>
    <s v="Antioquia"/>
    <s v="Medellín"/>
    <s v="RCE_260408_79"/>
    <m/>
    <m/>
    <s v="Sí"/>
    <s v="Equipo Técnico Territorial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s v="13/02/2026_x000a_18/02/2026"/>
    <s v="Francisco Jose Yepes Vaca"/>
    <n v="1144074193"/>
    <x v="0"/>
    <s v="https://drive.google.com/drive/folders/10d8-c8FdmSMuhQtU4vM2rOztbhtH8bMt?usp=sharing"/>
    <s v="313 750 5896"/>
    <x v="0"/>
    <s v="Bogotá"/>
    <s v="Bogotá"/>
    <s v="RCE_260220_58"/>
    <s v="RCE_260217_54"/>
    <d v="2026-02-23T00:00:00"/>
    <s v="Sí"/>
    <s v="Equipo Técnico Territorial"/>
    <s v="Sí"/>
    <m/>
    <m/>
    <s v="RCE_260220_58"/>
  </r>
  <r>
    <d v="2026-02-13T00:00:00"/>
    <s v="Juan José Ortiz Rodríguez"/>
    <n v="1075290917"/>
    <x v="1"/>
    <s v="https://drive.google.com/drive/folders/1imaJKsFubWW6upkNDQ8FskKT42YS-4HT?usp=sharing"/>
    <n v="3103040685"/>
    <x v="0"/>
    <s v="Huila"/>
    <s v="Neiva"/>
    <s v="RCE_260220_58"/>
    <m/>
    <m/>
    <s v="Sí"/>
    <s v="Equipo Técnico Territorial"/>
    <s v="No"/>
    <m/>
    <m/>
    <m/>
  </r>
  <r>
    <d v="2026-02-13T00:00:00"/>
    <s v="Oscar Fernando Atagualpa Charry"/>
    <n v="1075233213"/>
    <x v="1"/>
    <s v="https://drive.google.com/drive/folders/1ppInKb9DkUqK05kyQpHo4DZhH3u1Y2-c?usp=sharing"/>
    <n v="3176709214"/>
    <x v="0"/>
    <s v="Huila"/>
    <s v="Timana"/>
    <s v="RCE_260220_58"/>
    <m/>
    <m/>
    <s v="Sí"/>
    <s v="Equipo Técnico Territorial"/>
    <s v="No"/>
    <m/>
    <m/>
    <m/>
  </r>
  <r>
    <d v="2026-02-13T00:00:00"/>
    <s v="Víctor Javier Polo Rojas"/>
    <n v="1075254161"/>
    <x v="1"/>
    <s v="https://drive.google.com/drive/folders/1r44y_CdPhOmaPTVEwAgeJjYLT1W-iwaq?usp=sharing"/>
    <n v="3028574419"/>
    <x v="0"/>
    <s v="Huila"/>
    <s v="Neiva"/>
    <s v="RCE_260220_58"/>
    <m/>
    <m/>
    <s v="Sí"/>
    <s v="Equipo Técnico Territorial"/>
    <s v="No"/>
    <m/>
    <m/>
    <m/>
  </r>
  <r>
    <d v="2026-02-13T00:00:00"/>
    <s v="Nancy Rocío Araujo Silva"/>
    <n v="26607521"/>
    <x v="1"/>
    <s v="https://drive.google.com/drive/folders/1r1IT0tn-GoVOdan2TRJQ5PlBThfymFXB?usp=sharing"/>
    <n v="3118300584"/>
    <x v="0"/>
    <s v="Huila"/>
    <s v="Yaguara"/>
    <s v="RCE_260220_58"/>
    <m/>
    <m/>
    <s v="Sí"/>
    <s v="Equipo Técnico Territorial"/>
    <s v="No"/>
    <m/>
    <m/>
    <m/>
  </r>
  <r>
    <s v="3/02/2026_x000a_13/02/2026"/>
    <s v="Carlos Alberto Borda Ladino "/>
    <n v="1030627215"/>
    <x v="2"/>
    <s v="https://drive.google.com/drive/folders/1_44GkF3AGucvIWK9kVATug0RlMhrNebO?usp=sharing"/>
    <n v="3185636397"/>
    <x v="0"/>
    <s v="Bogotá"/>
    <s v="Bogotá"/>
    <s v=" RCE_260223_62"/>
    <s v="RCE_260206_42"/>
    <d v="2026-02-10T00:00:00"/>
    <s v="Sí"/>
    <s v="Equipo Técnico Territorial"/>
    <s v="No"/>
    <s v="No Aprobado"/>
    <m/>
    <m/>
  </r>
  <r>
    <d v="2026-02-13T00:00:00"/>
    <s v="Anuar Fernando Amar Zuñiga"/>
    <n v="1075299345"/>
    <x v="1"/>
    <s v="https://drive.google.com/drive/folders/1FNWZ0Kq6g4_tfi7XPsE04IUdLUIgrLPG?usp=sharing"/>
    <n v="3112456699"/>
    <x v="0"/>
    <s v="Huila"/>
    <s v="Neiva"/>
    <s v=" RCE_260223_62"/>
    <m/>
    <m/>
    <s v="Sí"/>
    <s v="Equipo Técnico Territorial"/>
    <s v="Sí"/>
    <m/>
    <m/>
    <m/>
  </r>
  <r>
    <d v="2026-02-13T00:00:00"/>
    <s v="Oscar Iván Losada López"/>
    <n v="12282196"/>
    <x v="1"/>
    <s v="https://drive.google.com/drive/folders/1z9GjjCKXXSCsYSDK_1wx3yPLYkbbAdGO?usp=sharing"/>
    <s v="313 355 3603"/>
    <x v="0"/>
    <s v="Huila"/>
    <s v="La plata"/>
    <s v=" RCE_260223_62"/>
    <m/>
    <m/>
    <s v="Sí"/>
    <s v="Equipo Técnico Territorial"/>
    <s v="Sí"/>
    <m/>
    <m/>
    <m/>
  </r>
  <r>
    <d v="2026-02-13T00:00:00"/>
    <s v="Lina Alexandra Meza"/>
    <n v="1075224742"/>
    <x v="1"/>
    <s v="https://drive.google.com/drive/folders/1N-UizPzl0oV__OPC_f9sP1-V2H6ML2YC?usp=sharing"/>
    <n v="3138236572"/>
    <x v="0"/>
    <s v="Huila"/>
    <s v="Neiva"/>
    <s v=" RCE_260223_62"/>
    <m/>
    <m/>
    <s v="Sí"/>
    <s v="Equipo Técnico Territorial"/>
    <s v="No"/>
    <m/>
    <m/>
    <m/>
  </r>
  <r>
    <d v="2026-02-20T00:00:00"/>
    <s v="Blanca Jeannette Jimenez Angel"/>
    <n v="39547159"/>
    <x v="2"/>
    <s v="https://drive.google.com/drive/folders/18QXOsBcht2k9ULBONnBFsbN0AzbMwQEn?usp=sharing"/>
    <n v="3178647950"/>
    <x v="0"/>
    <s v="Bogotá"/>
    <s v="Bogotá"/>
    <s v=" RCE_260227_66"/>
    <m/>
    <m/>
    <s v="Sí"/>
    <s v="Equipo Técnico Territorial"/>
    <s v="No"/>
    <m/>
    <m/>
    <m/>
  </r>
  <r>
    <d v="2026-02-20T00:00:00"/>
    <s v="Jean Ruth León Morales "/>
    <n v="68249820"/>
    <x v="2"/>
    <s v="https://drive.google.com/drive/folders/1VOTo8jAfUW4tIltIoK-1CCDDTNOnOX0V?usp=sharing"/>
    <n v="3118290743"/>
    <x v="1"/>
    <s v="Arauca"/>
    <s v="Arauca"/>
    <s v=" RCE_260227_66"/>
    <m/>
    <m/>
    <s v="Sí"/>
    <s v="Equipo Técnico Territorial"/>
    <s v="No"/>
    <m/>
    <m/>
    <m/>
  </r>
  <r>
    <d v="2026-02-20T00:00:00"/>
    <s v="Jeniffer González Parra "/>
    <n v="36312411"/>
    <x v="2"/>
    <s v="https://drive.google.com/drive/folders/1ysXNF6WMORjaN_91GdFw1AO0h4mPM6Ko?usp=sharing"/>
    <n v="3154253322"/>
    <x v="0"/>
    <s v="Tolima"/>
    <s v="Purificacion"/>
    <s v=" RCE_260227_66"/>
    <m/>
    <m/>
    <s v="Sí"/>
    <s v="Equipo Técnico Territorial"/>
    <s v="No"/>
    <m/>
    <m/>
    <m/>
  </r>
  <r>
    <d v="2026-02-20T00:00:00"/>
    <s v="Paola Andrea Charry Muñoz "/>
    <n v="26424757"/>
    <x v="1"/>
    <s v="https://drive.google.com/drive/folders/1D9v34cOEZS5C3ErEVs0J7H_EdK11oUXt?usp=sharing"/>
    <n v="3158094982"/>
    <x v="0"/>
    <s v="Huila"/>
    <s v="Neiva"/>
    <s v=" RCE_260227_66"/>
    <m/>
    <m/>
    <s v="Sí"/>
    <s v="Equipo Técnico Territorial"/>
    <s v="No"/>
    <m/>
    <m/>
    <m/>
  </r>
  <r>
    <d v="2025-12-26T00:00:00"/>
    <s v="OSCAR JAVIER POLO CERVANTE "/>
    <n v="8645647"/>
    <x v="1"/>
    <s v="https://drive.google.com/drive/folders/1s76KtYpo9xkyKsphjMU_6cY-tYdHchLr?usp=sharing"/>
    <s v="3008051714."/>
    <x v="2"/>
    <s v="Atlántico"/>
    <s v="Sabanalarga"/>
    <s v="RCE_251230_1"/>
    <m/>
    <d v="2026-01-13T00:00:00"/>
    <s v="Sí"/>
    <s v="Equipo Técnico Territorial"/>
    <s v="Sí"/>
    <s v="Activo"/>
    <m/>
    <s v="RCE_251230_1"/>
  </r>
  <r>
    <d v="2025-12-26T00:00:00"/>
    <s v="JANNER ANDRES PERAFAN SAMBONI"/>
    <n v="10307077"/>
    <x v="1"/>
    <s v="https://drive.google.com/drive/folders/1_KdWNmRIUdtCkrNmZtfqdrBsh1NuuudE?usp=sharing"/>
    <n v="3217763244"/>
    <x v="3"/>
    <s v="Cauca"/>
    <s v="Popayán"/>
    <s v="RCE_251230_1"/>
    <m/>
    <d v="2026-01-13T00:00:00"/>
    <s v="Sí"/>
    <s v="Equipo Técnico Territorial"/>
    <s v="Sí"/>
    <s v="Activo"/>
    <m/>
    <s v="RCE_251230_1"/>
  </r>
  <r>
    <d v="2025-12-26T00:00:00"/>
    <s v="ALEXIS ALVEAR GUERRERO "/>
    <n v="12753416"/>
    <x v="1"/>
    <s v="https://drive.google.com/drive/folders/1NbDlQ2GSUYTpsP4AQXkc4bazmCrypJ2I?usp=sharing"/>
    <n v="3135993959"/>
    <x v="3"/>
    <s v="Nariño"/>
    <s v="Pasto"/>
    <s v="RCE_251230_1"/>
    <m/>
    <d v="2026-01-13T00:00:00"/>
    <s v="Sí"/>
    <s v="Equipo Técnico Territorial"/>
    <s v="Sí"/>
    <s v="Activo"/>
    <m/>
    <s v="RCE_251230_1"/>
  </r>
  <r>
    <d v="2025-12-26T00:00:00"/>
    <s v="ADRIANA MILENA VILLALBA GUALTERO"/>
    <n v="25289719"/>
    <x v="1"/>
    <s v="https://drive.google.com/drive/folders/1APfwtV53Y6RV4h2IAOI-oXsFhSbYQpkr?usp=sharing"/>
    <n v="3135211656"/>
    <x v="3"/>
    <s v="Cauca"/>
    <s v="Cajibío"/>
    <s v="RCE_251230_1"/>
    <m/>
    <d v="2026-01-13T00:00:00"/>
    <s v="Sí"/>
    <s v="Equipo Técnico Territorial"/>
    <s v="Sí"/>
    <s v="Activo"/>
    <m/>
    <s v="RCE_251230_1"/>
  </r>
  <r>
    <d v="2025-12-26T00:00:00"/>
    <s v="LENY SOFIA BELTRÁN DELGADO"/>
    <n v="63545948"/>
    <x v="1"/>
    <s v="https://drive.google.com/drive/folders/1Mj1QshXamYDrTcHlUgcLT1hlKpPNuRFF"/>
    <n v="3168706325"/>
    <x v="1"/>
    <s v="Santander"/>
    <s v="Piedecuesta"/>
    <s v="RCE_251230_1"/>
    <m/>
    <d v="2026-01-13T00:00:00"/>
    <s v="Sí"/>
    <s v="Equipo Técnico Territorial"/>
    <s v="Sí"/>
    <s v="Activo"/>
    <m/>
    <s v="RCE_251230_1"/>
  </r>
  <r>
    <d v="2025-12-26T00:00:00"/>
    <s v="FRANCISCO OCHOA CAMERO "/>
    <n v="73240202"/>
    <x v="1"/>
    <s v="https://drive.google.com/drive/folders/13ykc-YZ1ds1xvVw0JzLGcH1Svv3fPu1S?usp=sharing"/>
    <n v="3005231801"/>
    <x v="2"/>
    <s v="Bolívar"/>
    <s v="Magangué"/>
    <s v="RCE_251230_1"/>
    <m/>
    <d v="2026-01-13T00:00:00"/>
    <s v="Sí"/>
    <s v="Equipo Técnico Territorial"/>
    <s v="Sí"/>
    <s v="Activo"/>
    <m/>
    <s v="RCE_251230_1"/>
  </r>
  <r>
    <d v="2025-12-26T00:00:00"/>
    <s v="ROBERTO CARLOS BRUN ROCHA "/>
    <n v="73569377"/>
    <x v="1"/>
    <s v="https://drive.google.com/drive/folders/17eFSh9Lx-FmO-RFS8FWDZckrGM-OAWSa?usp=sharing"/>
    <n v="3002273146"/>
    <x v="2"/>
    <s v="Atlántico"/>
    <s v="Barranquilla"/>
    <s v="RCE_251230_1"/>
    <m/>
    <d v="2026-01-13T00:00:00"/>
    <s v="Sí"/>
    <s v="Equipo Técnico Territorial"/>
    <s v="Sí"/>
    <s v="Activo"/>
    <m/>
    <s v="RCE_251230_1"/>
  </r>
  <r>
    <d v="2025-12-26T00:00:00"/>
    <s v=" ALEX JOSE OSPINO SARMIENTO"/>
    <n v="77032423"/>
    <x v="1"/>
    <s v="https://drive.google.com/drive/folders/1xbC-Kbe1Y7QM2IDFFGsMx7UDTyToI1eF?usp=sharing"/>
    <s v="3157742677."/>
    <x v="2"/>
    <s v="Cesar"/>
    <s v="Valledupar"/>
    <s v="RCE_251230_1"/>
    <m/>
    <d v="2026-01-13T00:00:00"/>
    <s v="Sí"/>
    <s v="Equipo Técnico Territorial"/>
    <s v="Sí"/>
    <s v="Activo"/>
    <m/>
    <s v="RCE_251230_1"/>
  </r>
  <r>
    <d v="2025-12-26T00:00:00"/>
    <s v="HERWY PATERNINA "/>
    <n v="77216111"/>
    <x v="1"/>
    <s v="https://drive.google.com/drive/folders/1xBjSQoRJiv44UJX9HsrWKbn3Id6ERcoi?usp=sharing"/>
    <n v="3017542657"/>
    <x v="2"/>
    <s v="Atlántico"/>
    <s v="Soledad"/>
    <s v="RCE_251230_1"/>
    <m/>
    <d v="2026-01-13T00:00:00"/>
    <s v="Sí"/>
    <s v="Equipo Técnico Territorial"/>
    <s v="Sí"/>
    <s v="Activo"/>
    <m/>
    <s v="RCE_251230_1"/>
  </r>
  <r>
    <d v="2025-12-26T00:00:00"/>
    <s v="DARWIN PUERTO MAHECHA"/>
    <n v="80864874"/>
    <x v="1"/>
    <s v="https://drive.google.com/drive/folders/1ZTxxrbCP49fAUVUhUo9VZlFI4lZEmQuO?usp=sharing"/>
    <n v="3112044762"/>
    <x v="0"/>
    <s v="Bogotá"/>
    <s v="Bogotá"/>
    <s v="RCE_251230_1"/>
    <m/>
    <d v="2026-01-13T00:00:00"/>
    <s v="Sí"/>
    <s v="Equipo Técnico Territorial"/>
    <s v="Sí"/>
    <s v="Activo"/>
    <m/>
    <s v="RCE_251230_1"/>
  </r>
  <r>
    <d v="2025-12-26T00:00:00"/>
    <s v="JOHNATHAN STEVEN PATARROYO BETANCOURT"/>
    <n v="87947694"/>
    <x v="1"/>
    <s v="https://drive.google.com/drive/folders/1dlngNVJDe5z-0OiENC55EvYTebQ4xps4?usp=sharing"/>
    <n v="3167209179"/>
    <x v="3"/>
    <s v="Nariño"/>
    <s v="San Andrés de Tumaco"/>
    <s v="RCE_251230_1"/>
    <m/>
    <d v="2026-01-13T00:00:00"/>
    <s v="Sí"/>
    <s v="Equipo Técnico Territorial"/>
    <s v="Sí"/>
    <s v="Activo"/>
    <m/>
    <s v="RCE_251230_1"/>
  </r>
  <r>
    <d v="2025-12-26T00:00:00"/>
    <s v="GERMAN ANTONIO ARMENTA ZAPATA"/>
    <n v="93367761"/>
    <x v="1"/>
    <s v="https://drive.google.com/drive/folders/1MDLN0lEfZ1cT_fRcLDIPo1cxEYmHslln?usp=sharing"/>
    <s v="3224791104 - 3134175304"/>
    <x v="4"/>
    <s v="Tolima"/>
    <s v="Ibagué"/>
    <s v="RCE_251230_1"/>
    <m/>
    <d v="2026-01-13T00:00:00"/>
    <s v="Sí"/>
    <s v="Equipo Técnico Territorial"/>
    <s v="Sí"/>
    <s v="Activo"/>
    <m/>
    <s v="RCE_251230_1"/>
  </r>
  <r>
    <d v="2025-12-26T00:00:00"/>
    <s v="FRANCISCO FRANCO LOMBANA ROSERO"/>
    <n v="98417809"/>
    <x v="1"/>
    <s v="https://drive.google.com/drive/folders/1n2CGVdOw7ICQ-kXOcSUNjnnNpRrCRjrH?usp=sharing"/>
    <n v="3136841893"/>
    <x v="3"/>
    <s v="Nariño"/>
    <s v="Contadero"/>
    <s v="RCE_251230_1"/>
    <m/>
    <d v="2026-01-13T00:00:00"/>
    <s v="Sí"/>
    <s v="Equipo Técnico Territorial"/>
    <s v="Sí"/>
    <s v="Activo"/>
    <m/>
    <s v="RCE_251230_1"/>
  </r>
  <r>
    <d v="2025-12-26T00:00:00"/>
    <s v="SANTIAGO JOSÉ RUBIANO RUÍZ"/>
    <n v="1032477486"/>
    <x v="1"/>
    <s v="https://drive.google.com/drive/folders/1DoaFY4upQDpE97Nj1uTsUWG89O0K4AZ0?usp=sharing"/>
    <n v="3124075059"/>
    <x v="0"/>
    <s v="Bogotá"/>
    <s v="Bogotá"/>
    <s v="RCE_251230_1"/>
    <m/>
    <d v="2026-01-13T00:00:00"/>
    <s v="Sí"/>
    <s v="Equipo Técnico Territorial"/>
    <s v="Sí"/>
    <s v="Activo"/>
    <m/>
    <s v="RCE_251230_1"/>
  </r>
  <r>
    <d v="2025-12-26T00:00:00"/>
    <s v="MARIA KATERINE ZULUAGA ALZATE"/>
    <n v="1068665698"/>
    <x v="1"/>
    <s v="https://drive.google.com/drive/folders/1bb6X46KPsWebZpswh0UIRtghdsdiA-aT?usp=sharing"/>
    <n v="3012290912"/>
    <x v="2"/>
    <s v="Córdoba"/>
    <s v="Ciénaga de oro"/>
    <s v="RCE_251230_1"/>
    <m/>
    <d v="2026-01-13T00:00:00"/>
    <s v="Sí"/>
    <s v="Equipo Técnico Territorial"/>
    <s v="Sí"/>
    <s v="Activo"/>
    <m/>
    <s v="RCE_251230_1"/>
  </r>
  <r>
    <d v="2025-12-26T00:00:00"/>
    <s v="CARLOS MANUEL ALVEAR "/>
    <n v="1085260120"/>
    <x v="1"/>
    <s v="https://drive.google.com/drive/folders/1LQWOJ7vueZvlh35BlF9G9xuGXLc1Vpkj?usp=sharing"/>
    <n v="3175013807"/>
    <x v="3"/>
    <s v="Nariño"/>
    <s v="Linares"/>
    <s v="RCE_251230_1"/>
    <m/>
    <d v="2026-01-13T00:00:00"/>
    <s v="Sí"/>
    <s v="Equipo Técnico Territorial"/>
    <s v="Sí"/>
    <s v="Activo"/>
    <m/>
    <s v="RCE_251230_1"/>
  </r>
  <r>
    <d v="2025-12-26T00:00:00"/>
    <s v="NUBIA YAMILE BENÍTEZ CASTRO"/>
    <n v="1013585966"/>
    <x v="3"/>
    <s v="https://drive.google.com/drive/folders/1Iqa6Kyw0DVI8HApOzvF_WHPDsaXgPcyi?usp=sharing"/>
    <n v="3132306105"/>
    <x v="2"/>
    <s v="Bogotá"/>
    <s v="Bogotá"/>
    <s v="RCE_251230_1"/>
    <m/>
    <d v="2026-01-13T00:00:00"/>
    <s v="Sí"/>
    <s v="Equipo Nacional"/>
    <s v="Sí"/>
    <s v="Activo"/>
    <m/>
    <s v="RCE_251230_1"/>
  </r>
  <r>
    <d v="2025-12-26T00:00:00"/>
    <s v="JUAN MANUEL GALVÁN"/>
    <n v="1019106904"/>
    <x v="3"/>
    <s v="https://drive.google.com/drive/folders/1rtbhI--gZGQhxV1prf-je0o9yrec8tWb?usp=sharing"/>
    <n v="3118930476"/>
    <x v="0"/>
    <s v="Bogotá"/>
    <s v="Bogotá"/>
    <s v="RCE_251230_1"/>
    <m/>
    <d v="2026-01-13T00:00:00"/>
    <s v="Sí"/>
    <s v="Equipo Nacional"/>
    <s v="Sí"/>
    <s v="Activo"/>
    <m/>
    <s v="RCE_251230_1"/>
  </r>
  <r>
    <d v="2025-12-26T00:00:00"/>
    <s v="FERNANDA BÁEZ ZAPATA"/>
    <n v="1022433756"/>
    <x v="0"/>
    <s v="https://drive.google.com/drive/folders/10s-8n3Jqq2Ou-7FCxuzBexwjz85umPDy?usp=sharing"/>
    <n v="3208048602"/>
    <x v="0"/>
    <s v="Bogotá"/>
    <s v="Bogotá"/>
    <s v="RCE_251230_1"/>
    <m/>
    <d v="2026-01-13T00:00:00"/>
    <s v="Sí"/>
    <s v="Equipo Técnico Territorial"/>
    <s v="Sí"/>
    <s v="Activo"/>
    <m/>
    <s v="RCE_251230_1"/>
  </r>
  <r>
    <d v="2025-12-26T00:00:00"/>
    <s v="SEBASTIAN GABRIEL LAVERDE ANGULO"/>
    <n v="1023941171"/>
    <x v="0"/>
    <s v="https://drive.google.com/drive/folders/19bUPzc2r90Jn-m5vrRT8FMsDjNaZQHKy?usp=sharing"/>
    <n v="3212077757"/>
    <x v="2"/>
    <s v="Bogotá"/>
    <s v="Bogotá"/>
    <s v="RCE_251230_1"/>
    <m/>
    <d v="2026-01-13T00:00:00"/>
    <s v="Sí"/>
    <s v="Equipo Técnico Territorial"/>
    <s v="Sí"/>
    <s v="Activo"/>
    <m/>
    <s v="RCE_251230_1"/>
  </r>
  <r>
    <d v="2025-12-26T00:00:00"/>
    <s v="LUIS ALBERTO TARAZONA PÉREZ"/>
    <n v="1094573089"/>
    <x v="1"/>
    <s v="https://drive.google.com/drive/folders/1r_r8yn8DEG6aKr0NGTDLjvHPndqOrWLZ?usp=sharing"/>
    <n v="3163364815"/>
    <x v="1"/>
    <s v="Norte de Santander"/>
    <s v="San José de Cúcuta"/>
    <s v="RCE_251230_1"/>
    <m/>
    <d v="2026-01-13T00:00:00"/>
    <s v="Sí"/>
    <s v="Equipo Técnico Territorial"/>
    <s v="Sí"/>
    <s v="Retirado"/>
    <m/>
    <s v="RCE_251230_1"/>
  </r>
  <r>
    <d v="2025-12-26T00:00:00"/>
    <s v="ADRIANA JIMENEZ RUIZ"/>
    <n v="1100394243"/>
    <x v="1"/>
    <s v="https://drive.google.com/drive/folders/10KyOqh_JLc0vN0jnC0n6uLawa2qaFAfd?usp=sharing"/>
    <s v="3014900339 - 3015731213"/>
    <x v="2"/>
    <s v="Atlántico"/>
    <s v="Barranquilla"/>
    <s v="RCE_251230_1"/>
    <m/>
    <d v="2026-01-13T00:00:00"/>
    <s v="Sí"/>
    <s v="Equipo Técnico Territorial"/>
    <s v="Sí"/>
    <s v="Activo"/>
    <m/>
    <s v="RCE_251230_1"/>
  </r>
  <r>
    <d v="2025-12-26T00:00:00"/>
    <s v="MELISSA ANDREA MUÑOZ VERGARA"/>
    <n v="1102842776"/>
    <x v="1"/>
    <s v="https://drive.google.com/drive/folders/1gU3i4J3jZECf2DV2yKfPc5JQpT3AP8IV?usp=sharing"/>
    <s v="3046531688 - 30017379996"/>
    <x v="2"/>
    <s v="Sucre"/>
    <s v="Sincelejo"/>
    <s v="RCE_251230_1"/>
    <m/>
    <d v="2026-01-13T00:00:00"/>
    <s v="Sí"/>
    <s v="Equipo Técnico Territorial"/>
    <s v="Sí"/>
    <s v="Activo"/>
    <m/>
    <s v="RCE_251230_1"/>
  </r>
  <r>
    <d v="2025-12-26T00:00:00"/>
    <s v="LUIS ALBERTO MARIN MENDOZA"/>
    <n v="1116794146"/>
    <x v="1"/>
    <s v="https://drive.google.com/drive/folders/1xRgRtdgOQOVAd9Vgr8E2m8TF9-gMH6jm?usp=sharing"/>
    <n v="3202032195"/>
    <x v="1"/>
    <s v="Arauca"/>
    <s v="Arauca"/>
    <s v="RCE_251230_1"/>
    <m/>
    <d v="2026-01-13T00:00:00"/>
    <s v="Sí"/>
    <s v="Equipo Técnico Territorial"/>
    <s v="Sí"/>
    <s v="Activo"/>
    <m/>
    <s v="RCE_251230_1"/>
  </r>
  <r>
    <d v="2025-12-26T00:00:00"/>
    <s v="KATTY JULIET PERTUZ ARNACHE "/>
    <n v="1140822187"/>
    <x v="1"/>
    <s v="https://drive.google.com/drive/folders/1Flqbi9bivSkGLLoRN3ddFWaTi1PYWSMF?usp=sharing"/>
    <n v="3104242373"/>
    <x v="2"/>
    <s v="Atlántico"/>
    <s v="Barranquilla"/>
    <s v="RCE_251230_1"/>
    <m/>
    <d v="2026-01-13T00:00:00"/>
    <s v="Sí"/>
    <s v="Equipo Técnico Territorial"/>
    <s v="Sí"/>
    <s v="Retirado"/>
    <s v="Retirado 04/03/2026"/>
    <s v="RCE_251230_1"/>
  </r>
  <r>
    <d v="2025-12-26T00:00:00"/>
    <s v="OSMANI EMILSE OLIVOS GARCIA"/>
    <n v="68293175"/>
    <x v="4"/>
    <s v="https://drive.google.com/drive/folders/1Al2v25rXs1qNWs8vCiezrTh2VJiBnFVj?usp=sharing"/>
    <n v="3214599755"/>
    <x v="1"/>
    <s v="Arauca"/>
    <s v="Tame"/>
    <s v="RCE_251230_1"/>
    <m/>
    <d v="2026-01-13T00:00:00"/>
    <s v="Sí"/>
    <s v="Equipo Nacional"/>
    <s v="Sí"/>
    <s v="Activo"/>
    <m/>
    <s v="RCE_251230_1"/>
  </r>
  <r>
    <d v="2025-12-26T00:00:00"/>
    <s v="OSCAR ANDRES VACCA CALDERON"/>
    <n v="1006904202"/>
    <x v="5"/>
    <s v="https://drive.google.com/drive/folders/1ICM-ljhMTlYBaXD5wxRYIbGYFZJopXZp?usp=sharing"/>
    <n v="3228679970"/>
    <x v="0"/>
    <s v="Meta"/>
    <s v="San juan de arama"/>
    <s v="RCE_251230_1"/>
    <m/>
    <d v="2026-01-13T00:00:00"/>
    <s v="Sí"/>
    <s v="Equipo Nacional"/>
    <s v="Sí"/>
    <s v="Activo"/>
    <m/>
    <s v="RCE_251230_1"/>
  </r>
  <r>
    <d v="2025-12-26T00:00:00"/>
    <s v="LEIDY ZULEIMA SAAVEDRA ROJAS"/>
    <n v="1012423950"/>
    <x v="5"/>
    <s v="https://drive.google.com/drive/folders/18bRxCueGh_ejNiYr5mlFqfYlAHPspM64?usp=sharing"/>
    <n v="3159267374"/>
    <x v="0"/>
    <s v="Bogotá"/>
    <s v="Bogotá"/>
    <s v="RCE_251230_1"/>
    <m/>
    <d v="2026-01-13T00:00:00"/>
    <s v="Sí"/>
    <s v="Equipo Nacional"/>
    <s v="Sí"/>
    <s v="Activo"/>
    <m/>
    <s v="RCE_251230_1"/>
  </r>
  <r>
    <d v="2025-12-26T00:00:00"/>
    <s v="LISETH VILLALBA MEJIA"/>
    <n v="1082913711"/>
    <x v="5"/>
    <s v="https://drive.google.com/drive/folders/1SshA35xRlHXdfmquKeBB5ShxtYpl1gab?usp=sharing"/>
    <n v="3207674159"/>
    <x v="2"/>
    <s v="Magdalena"/>
    <s v="Santa Marta"/>
    <s v="RCE_251230_1"/>
    <m/>
    <d v="2026-01-13T00:00:00"/>
    <s v="Sí"/>
    <s v="Equipo Nacional"/>
    <s v="Sí"/>
    <s v="Activo"/>
    <m/>
    <s v="RCE_251230_1"/>
  </r>
  <r>
    <d v="2025-12-26T00:00:00"/>
    <s v="YENNY VIVIANA MONTENEGRO"/>
    <n v="52366634"/>
    <x v="6"/>
    <s v="https://drive.google.com/drive/folders/1JN2TpwipDRCnblImIHOOi1SA66yIABAJ?usp=sharing"/>
    <s v="300 6891366"/>
    <x v="0"/>
    <s v="Bogotá"/>
    <s v="Bogotá"/>
    <s v="RCE_251230_1"/>
    <m/>
    <d v="2026-01-13T00:00:00"/>
    <s v="Sí"/>
    <s v="Equipo Nacional"/>
    <s v="Sí"/>
    <s v="Activo"/>
    <m/>
    <s v="RCE_251230_1"/>
  </r>
  <r>
    <d v="2025-12-26T00:00:00"/>
    <s v="YENY PATRICIA ORTEGA ELVIRA"/>
    <n v="25277702"/>
    <x v="7"/>
    <s v="https://drive.google.com/drive/folders/1ln-zWOqymaSKUhSSFiwJ2y3nGBgVgwX8?usp=sharing"/>
    <n v="3218684945"/>
    <x v="3"/>
    <s v="Cauca"/>
    <s v="Popayán"/>
    <s v="RCE_251230_1"/>
    <m/>
    <d v="2026-01-13T00:00:00"/>
    <s v="Sí"/>
    <s v="Equipo Nacional"/>
    <s v="Sí"/>
    <s v="Activo"/>
    <m/>
    <s v="RCE_251230_1"/>
  </r>
  <r>
    <d v="2025-12-26T00:00:00"/>
    <s v="LEWIS FRANCISCO CALDERON FERNANDEZ "/>
    <n v="77036199"/>
    <x v="7"/>
    <s v="https://drive.google.com/drive/folders/1vCQgauPL7Be8dBuynweAIcrZXQFp1fnH?usp=sharing"/>
    <n v="3135917772"/>
    <x v="2"/>
    <s v="Córdoba"/>
    <s v="Cerete"/>
    <s v="RCE_251230_1"/>
    <m/>
    <d v="2026-01-13T00:00:00"/>
    <s v="Sí"/>
    <s v="Equipo Nacional"/>
    <s v="No"/>
    <s v="Retirado"/>
    <s v="Renunció al proceso"/>
    <s v="RCE_251230_1"/>
  </r>
  <r>
    <d v="2025-12-29T00:00:00"/>
    <s v="HEINER FERLEY RINCON RAMIREZ"/>
    <n v="1098761785"/>
    <x v="3"/>
    <s v="https://drive.google.com/drive/folders/1sntfNxN1f28kZ5cDNIJYy7whHhN4lVT4"/>
    <n v="3157304369"/>
    <x v="1"/>
    <s v="Bogotá"/>
    <s v="Bogotá"/>
    <s v="RCE_251231_2"/>
    <m/>
    <d v="2026-01-13T00:00:00"/>
    <s v="Sí"/>
    <s v="Equipo Nacional"/>
    <s v="Sí"/>
    <s v="Activo"/>
    <m/>
    <s v="RCE_251231_2"/>
  </r>
  <r>
    <d v="2025-12-29T00:00:00"/>
    <s v="GLORIA STELLA MUÑOZ"/>
    <n v="34672599"/>
    <x v="0"/>
    <s v="https://drive.google.com/drive/folders/1hMYBNooI8WHAvYIEcdF6oJejOktWXeiA"/>
    <n v="3166936117"/>
    <x v="3"/>
    <s v="Cauca"/>
    <s v="Popayán"/>
    <s v="RCE_260102_4"/>
    <m/>
    <d v="2026-01-13T00:00:00"/>
    <s v="Sí"/>
    <s v="Equipo Técnico Territorial"/>
    <s v="No"/>
    <s v="En Base de Datos"/>
    <m/>
    <s v="RCE_260102_4"/>
  </r>
  <r>
    <d v="2025-12-29T00:00:00"/>
    <s v="MILENA ROSMIRA GARCIA POVEDA "/>
    <n v="68304908"/>
    <x v="0"/>
    <s v="https://drive.google.com/drive/folders/1pWASq793geybTh8u1VNFfQUFQx4ahTGS"/>
    <n v="3103003277"/>
    <x v="1"/>
    <s v="Arauca"/>
    <s v="Tame"/>
    <s v="RCE_260102_4"/>
    <m/>
    <d v="2026-01-13T00:00:00"/>
    <s v="Sí"/>
    <s v="Equipo Técnico Territorial"/>
    <s v="Sí"/>
    <s v="Activo"/>
    <m/>
    <s v="RCE_260102_4"/>
  </r>
  <r>
    <d v="2025-12-29T00:00:00"/>
    <s v="LAURA ALEJANDRA NARANJO MORENO"/>
    <n v="1030633303"/>
    <x v="0"/>
    <s v="https://drive.google.com/drive/folders/1nweZBxXRHcawBvpqJCijzct89Up1_Was?usp=sharing"/>
    <n v="3185326727"/>
    <x v="0"/>
    <s v="Bogotá"/>
    <s v="Bogotá"/>
    <s v="RCE_260102_4"/>
    <m/>
    <d v="2026-01-13T00:00:00"/>
    <s v="Sí"/>
    <s v="Equipo Técnico Territorial"/>
    <s v="No"/>
    <s v="Retirado"/>
    <m/>
    <s v="RCE_260102_4"/>
  </r>
  <r>
    <d v="2025-12-29T00:00:00"/>
    <s v="INGRI ALEIRA ALFONSO "/>
    <n v="33480516"/>
    <x v="1"/>
    <s v="https://drive.google.com/drive/folders/1bTm2c5o3q97ONqC1EUo_kvF3k7mnd9WD"/>
    <n v="3228984805"/>
    <x v="1"/>
    <s v="Santander"/>
    <s v="Barbosa"/>
    <s v="RCE_260102_4"/>
    <m/>
    <d v="2026-01-13T00:00:00"/>
    <s v="Sí"/>
    <s v="Equipo Técnico Territorial"/>
    <s v="Sí"/>
    <s v="Activo"/>
    <m/>
    <s v="RCE_260102_4"/>
  </r>
  <r>
    <d v="2025-12-29T00:00:00"/>
    <s v="DANILA ISABEL CANTILLO MARTINEZ "/>
    <n v="36555287"/>
    <x v="1"/>
    <s v="https://drive.google.com/drive/folders/1mT0Go6PwuzAr74LNezDd29uZKgdZ4mwQ?usp=sharing"/>
    <n v="3162411905"/>
    <x v="2"/>
    <s v="Atlántico"/>
    <s v="Soledad"/>
    <s v="RCE_260102_4"/>
    <m/>
    <d v="2026-01-13T00:00:00"/>
    <s v="Sí"/>
    <s v="Equipo Técnico Territorial"/>
    <s v="Sí"/>
    <s v="Activo"/>
    <m/>
    <s v="RCE_260102_4"/>
  </r>
  <r>
    <d v="2025-12-29T00:00:00"/>
    <s v="CESAR HUMBERTO CARRERO"/>
    <n v="79465717"/>
    <x v="1"/>
    <s v="https://drive.google.com/drive/folders/1EU0SsmHLZ32j1p6U0LAB06xKoYlRKgpW?usp=sharing"/>
    <n v="3142738255"/>
    <x v="0"/>
    <s v="Bogotá"/>
    <s v="Bogotá"/>
    <s v="RCE_260102_4"/>
    <m/>
    <d v="2026-01-13T00:00:00"/>
    <s v="Sí"/>
    <s v="Equipo Técnico Territorial"/>
    <s v="Sí"/>
    <s v="Activo"/>
    <m/>
    <s v="RCE_260102_4"/>
  </r>
  <r>
    <d v="2025-12-29T00:00:00"/>
    <s v="GERMAN ANTONIO RODRÍGUEZ NIÑO"/>
    <n v="1018501051"/>
    <x v="1"/>
    <s v="https://drive.google.com/drive/folders/1tgCllxsYKGpT74ItBOqg6isypBdkTNHT"/>
    <n v="3203207992"/>
    <x v="0"/>
    <s v="Bogotá"/>
    <s v="Bogotá"/>
    <s v="RCE_260102_4"/>
    <m/>
    <d v="2026-01-13T00:00:00"/>
    <s v="Sí"/>
    <s v="Equipo Técnico Territorial"/>
    <s v="Sí"/>
    <s v="Activo"/>
    <m/>
    <s v="RCE_260102_4"/>
  </r>
  <r>
    <d v="2025-12-29T00:00:00"/>
    <s v="ROSELYS DEL CARMEN LLORENTE"/>
    <n v="1073816649"/>
    <x v="1"/>
    <s v="https://drive.google.com/drive/folders/1zkUj-EdGYzfKY6J7G5uUsgG_xW5rrq04"/>
    <n v="3135597546"/>
    <x v="2"/>
    <s v="Córdoba"/>
    <s v="San Pelayo"/>
    <s v="RCE_260102_4"/>
    <m/>
    <d v="2026-01-13T00:00:00"/>
    <s v="Sí"/>
    <s v="Equipo Técnico Territorial"/>
    <s v="Sí"/>
    <s v="Activo"/>
    <m/>
    <s v="RCE_260102_4"/>
  </r>
  <r>
    <d v="2025-12-29T00:00:00"/>
    <s v="JESUS RAFAEL URZOLA"/>
    <n v="72310623"/>
    <x v="4"/>
    <s v="https://drive.google.com/drive/folders/1XvHSHv-dPLUmt7LrBkaPXtbK3uenC4Ao"/>
    <n v="3185817751"/>
    <x v="2"/>
    <s v="Atlántico"/>
    <s v="Puerto colombia"/>
    <s v="RCE_260102_4"/>
    <m/>
    <d v="2026-01-13T00:00:00"/>
    <s v="Sí"/>
    <s v="Equipo Nacional"/>
    <s v="Sí"/>
    <s v="Activo"/>
    <m/>
    <s v="RCE_260102_4"/>
  </r>
  <r>
    <d v="2025-12-29T00:00:00"/>
    <s v="WILFREDO RODRIGUEZ MENDOZA "/>
    <n v="79994816"/>
    <x v="8"/>
    <s v="https://drive.google.com/drive/folders/1wvCTK1ViSEaNFb08YQENRXLiSW_VNe-7?usp=sharing"/>
    <n v="3058136798"/>
    <x v="0"/>
    <s v="Bogotá"/>
    <s v="Bogotá"/>
    <s v="RCE_260102_4"/>
    <m/>
    <d v="2026-01-13T00:00:00"/>
    <s v="Sí"/>
    <s v="Equipo Nacional"/>
    <s v="Sí"/>
    <s v="Activo"/>
    <m/>
    <s v="RCE_260102_4"/>
  </r>
  <r>
    <d v="2025-12-29T00:00:00"/>
    <s v="JHON EDUARD HERNANDEZ ESPINOS"/>
    <n v="93372958"/>
    <x v="8"/>
    <s v="https://drive.google.com/drive/folders/1TGUkye96HlNMp9EID-M7VhtfyLIzcriV?usp=sharing"/>
    <n v="3112633495"/>
    <x v="4"/>
    <s v="Tolima"/>
    <s v="Ibagué"/>
    <s v="RCE_260102_4"/>
    <m/>
    <d v="2026-01-13T00:00:00"/>
    <s v="Sí"/>
    <s v="Equipo Nacional"/>
    <s v="Sí"/>
    <s v="Activo"/>
    <m/>
    <s v="RCE_260102_4"/>
  </r>
  <r>
    <d v="2025-12-29T00:00:00"/>
    <s v="NUBIA STELLA GARCIA POVEDA "/>
    <n v="63497632"/>
    <x v="5"/>
    <s v="https://drive.google.com/drive/folders/1FjX93iOwIZ7pL56i6q3m69j97d6cF5wD?usp=sharing"/>
    <n v="3133936394"/>
    <x v="1"/>
    <s v="Santander"/>
    <s v="Bucaramanga"/>
    <s v="RCE_260102_4"/>
    <m/>
    <d v="2026-01-13T00:00:00"/>
    <s v="Sí"/>
    <s v="Equipo Nacional"/>
    <s v="Sí"/>
    <s v="Activo"/>
    <m/>
    <s v="RCE_260102_4"/>
  </r>
  <r>
    <d v="2025-12-29T00:00:00"/>
    <s v="FERNANDO ANDRES ESCOBAR "/>
    <n v="76322456"/>
    <x v="5"/>
    <s v="https://drive.google.com/drive/folders/1NjLOEezp7b9YRUvs5DHnJfEvzGbaTr5K?usp=sharing"/>
    <n v="3004402408"/>
    <x v="3"/>
    <s v="Cauca"/>
    <s v="Popayán"/>
    <s v="RCE_260102_4"/>
    <m/>
    <d v="2026-01-13T00:00:00"/>
    <s v="Sí"/>
    <s v="Equipo Nacional"/>
    <s v="Sí"/>
    <s v="Activo"/>
    <m/>
    <s v="RCE_260102_4"/>
  </r>
  <r>
    <d v="2025-12-29T00:00:00"/>
    <s v="ANTONIO RORIGUEZ BURGOS "/>
    <n v="98377840"/>
    <x v="5"/>
    <s v="https://drive.google.com/drive/folders/1SXAnjZ993W9RafkNnnRaNCIrWd6dh0mm?usp=sharing"/>
    <n v="3052357890"/>
    <x v="3"/>
    <s v="Nariño"/>
    <s v="Pasto"/>
    <s v="RCE_260102_4"/>
    <m/>
    <d v="2026-01-13T00:00:00"/>
    <s v="Sí"/>
    <s v="Equipo Nacional"/>
    <s v="Sí"/>
    <s v="Activo"/>
    <m/>
    <s v="RCE_260102_4"/>
  </r>
  <r>
    <d v="2025-12-29T00:00:00"/>
    <s v="SARA JULIANA ARMESTO PAREDES "/>
    <n v="1065910007"/>
    <x v="5"/>
    <s v="https://drive.google.com/drive/folders/1yzzbTVvVdFc2MaIqFrNuGWjKo-a9JTZE?usp=sharing"/>
    <n v="3178870865"/>
    <x v="2"/>
    <s v="Cesar"/>
    <s v="Aguachica"/>
    <s v="RCE_260102_4"/>
    <m/>
    <d v="2026-01-13T00:00:00"/>
    <s v="Sí"/>
    <s v="Equipo Nacional"/>
    <s v="Sí"/>
    <s v="Activo"/>
    <m/>
    <s v="RCE_260102_4"/>
  </r>
  <r>
    <d v="2025-12-29T00:00:00"/>
    <s v="VIVIANA COGOLLO GÓMEZ"/>
    <n v="1067855162"/>
    <x v="5"/>
    <s v="https://drive.google.com/drive/folders/1yaKjdG60phpeRQN7EyU2qEiNQSaruADz"/>
    <n v="3126986817"/>
    <x v="2"/>
    <s v="Córdoba"/>
    <s v="Valencia"/>
    <s v="RCE_260102_4"/>
    <m/>
    <d v="2026-01-13T00:00:00"/>
    <s v="Sí"/>
    <s v="Equipo Nacional"/>
    <s v="Sí"/>
    <s v="Activo"/>
    <m/>
    <s v="RCE_260102_4"/>
  </r>
  <r>
    <d v="2025-12-29T00:00:00"/>
    <s v="HABIB GUILLERMO MEJÍA"/>
    <n v="1032473395"/>
    <x v="6"/>
    <s v="https://drive.google.com/drive/folders/1m8BHhYeX226mBpqJksfy6RzrSuuk1yl9"/>
    <n v="3223901260"/>
    <x v="0"/>
    <s v="Bogotá"/>
    <s v="Bogotá"/>
    <s v="RCE_260102_4"/>
    <m/>
    <d v="2026-01-13T00:00:00"/>
    <s v="Sí"/>
    <s v="Equipo Nacional"/>
    <s v="No"/>
    <s v="En Base de Datos"/>
    <m/>
    <s v="RCE_260102_4"/>
  </r>
  <r>
    <d v="2025-12-29T00:00:00"/>
    <s v="MARIA CATHALINA ALCAZAR CARDOZO "/>
    <n v="38363000"/>
    <x v="7"/>
    <s v="https://drive.google.com/drive/folders/1xVM0hNl9X1yPx9BzF1BUiuKkC9Qpn1n1?usp=sharing"/>
    <n v="3102146160"/>
    <x v="4"/>
    <s v="Tolima"/>
    <s v="Ibagué"/>
    <s v="RCE_260102_4"/>
    <m/>
    <d v="2026-01-13T00:00:00"/>
    <s v="Sí"/>
    <s v="Equipo Nacional"/>
    <s v="Sí"/>
    <s v="Activo"/>
    <m/>
    <s v="RCE_260102_4"/>
  </r>
  <r>
    <d v="2025-12-29T00:00:00"/>
    <s v="ADRIANA SUARES SANCHES "/>
    <n v="1056931104"/>
    <x v="7"/>
    <s v="https://drive.google.com/drive/folders/1ZUhkEzBO9r2GWZMR-xK6Ua7GNABFhf-P"/>
    <n v="3232093324"/>
    <x v="1"/>
    <s v="Meta"/>
    <s v="Villavicencio"/>
    <s v="RCE_260102_4"/>
    <m/>
    <d v="2026-01-13T00:00:00"/>
    <s v="Sí"/>
    <s v="Equipo Nacional"/>
    <s v="Sí"/>
    <s v="Activo"/>
    <m/>
    <s v="RCE_260102_4"/>
  </r>
  <r>
    <d v="2025-12-29T00:00:00"/>
    <s v="LAURA NATALIA PAZ HOYOS"/>
    <n v="1061809363"/>
    <x v="7"/>
    <s v="http://drive.google.com/drive/folders/1OiEUMruV0ctrd8H1cjY_eJJ7nLNa2k48"/>
    <s v="315 3239643"/>
    <x v="3"/>
    <s v="Cauca "/>
    <s v="Popayán"/>
    <s v="RCE_260102_4"/>
    <m/>
    <d v="2026-01-13T00:00:00"/>
    <s v="Sí"/>
    <s v="Equipo Nacional"/>
    <s v="Sí"/>
    <s v="Activo"/>
    <m/>
    <s v="RCE_260102_4"/>
  </r>
  <r>
    <d v="2025-12-29T00:00:00"/>
    <s v="YARLYN  MARLEYXY BELTRAN PEREZ"/>
    <n v="1116500023"/>
    <x v="7"/>
    <s v="https://drive.google.com/drive/folders/1xX1LS87qVO686Ejdx36Y40Bdmukrex2I?usp=drive_link"/>
    <s v="314 3460209"/>
    <x v="1"/>
    <s v="Arauca"/>
    <s v="Arauquita"/>
    <s v="RCE_260102_4"/>
    <m/>
    <d v="2026-01-13T00:00:00"/>
    <s v="Sí"/>
    <s v="Equipo Nacional"/>
    <s v="Sí"/>
    <s v="Activo"/>
    <m/>
    <s v="RCE_260102_4"/>
  </r>
  <r>
    <d v="2026-01-16T00:00:00"/>
    <s v="CARLOS EDUARDO ROMERO GUZMÁN"/>
    <n v="19431225"/>
    <x v="0"/>
    <s v="https://drive.google.com/drive/folders/1eOBN88QMOx8YjRDtPvH6bt1LikchEfmL"/>
    <s v="314 6304700"/>
    <x v="3"/>
    <s v="Bogotá"/>
    <s v="Bogotá"/>
    <s v="RCE_260102_4_x000a_RCE_260119_20"/>
    <m/>
    <d v="2026-01-21T00:00:00"/>
    <s v="Sí"/>
    <s v="Equipo Técnico Territorial"/>
    <s v="No"/>
    <s v="En Base de Datos"/>
    <s v="Cambio de Rol"/>
    <s v="RCE_260102_4_x000a_RCE_260119_20"/>
  </r>
  <r>
    <d v="2025-12-29T00:00:00"/>
    <s v="CARLOS ALBERTO GUETE LÓPEZ"/>
    <n v="78758336"/>
    <x v="1"/>
    <s v="https://drive.google.com/drive/folders/10Q0CbnOp9C3Te4WPXOxNyEmottDyF2oT?usp=sharing"/>
    <n v="3015966483"/>
    <x v="2"/>
    <s v="Córdoba"/>
    <s v="Lorica"/>
    <s v="RCE_260102_4_x000a_RCE_260128_35"/>
    <m/>
    <d v="2026-02-09T00:00:00"/>
    <s v="Sí"/>
    <s v="Equipo Técnico Territorial"/>
    <s v="No"/>
    <s v="Retirado"/>
    <m/>
    <s v="RCE_260102_4_x000a_RCE_260128_35"/>
  </r>
  <r>
    <d v="2025-12-29T00:00:00"/>
    <s v="JUAN CAMILO OCHOA MARÍN"/>
    <n v="15354871"/>
    <x v="1"/>
    <s v="https://drive.google.com/drive/folders/1Bmp5G0jJ4wspqoQnpHiL3QI37KBChVdh"/>
    <n v="3136512879"/>
    <x v="3"/>
    <s v="Antioquia"/>
    <s v="Rionegro"/>
    <s v="RCE_260102_4_x000a_RCE_260131_37"/>
    <m/>
    <d v="2026-02-09T00:00:00"/>
    <s v="Sí"/>
    <s v="Equipo Técnico Territorial"/>
    <s v="Sí"/>
    <s v="Activo"/>
    <m/>
    <s v="RCE_260102_4_x000a_RCE_260131_37"/>
  </r>
  <r>
    <d v="2025-12-29T00:00:00"/>
    <s v="BRENDA MILENA LLOREDA PEDRAZA "/>
    <n v="1007760287"/>
    <x v="5"/>
    <s v="https://drive.google.com/drive/folders/1mMx7Uh4bO60CWG3fxuHFIpa9Q08pke9Q?usp=sharing"/>
    <n v="3162377716"/>
    <x v="1"/>
    <s v="Arauca"/>
    <s v="Saravena"/>
    <s v="RCE_260102_4_x000a_RCE_260205_39"/>
    <m/>
    <d v="2026-01-13T00:00:00"/>
    <s v="Sí"/>
    <s v="Equipo Nacional"/>
    <s v="No"/>
    <s v="En Base de Datos"/>
    <m/>
    <s v="RCE_260102_4"/>
  </r>
  <r>
    <d v="2025-12-29T00:00:00"/>
    <s v="JAVIER FRANCISCO DURANGO CHICA"/>
    <n v="10781720"/>
    <x v="5"/>
    <s v="https://drive.google.com/drive/folders/1ybyXigCKCKVuRd9FwMoXDtVzicMEqByp"/>
    <n v="3053245763"/>
    <x v="2"/>
    <s v="Córdoba"/>
    <s v="Ciénaga de oro"/>
    <s v="RCE_260102_5"/>
    <m/>
    <d v="2026-01-13T00:00:00"/>
    <s v="Sí"/>
    <s v="Equipo Nacional"/>
    <s v="Sí"/>
    <s v="Activo"/>
    <m/>
    <s v="RCE_260102_5"/>
  </r>
  <r>
    <d v="2025-12-29T00:00:00"/>
    <s v="INGRID CORINNE GENERA HERRERA"/>
    <n v="1117504566"/>
    <x v="5"/>
    <s v="https://drive.google.com/drive/folders/1zvQKHuv-ox3jeJxsQQ-MTRcV69Pq6UcB"/>
    <n v="3115626406"/>
    <x v="0"/>
    <s v="Caquetá"/>
    <s v="Florencia"/>
    <s v="RCE_260102_5"/>
    <m/>
    <d v="2026-01-13T00:00:00"/>
    <s v="Sí"/>
    <s v="Equipo Nacional"/>
    <s v="No"/>
    <s v="Retirado"/>
    <m/>
    <s v="RCE_260102_5"/>
  </r>
  <r>
    <d v="2025-12-29T00:00:00"/>
    <s v="EDGARDO DE JESÚS MONTES RODRIGUEZ"/>
    <n v="1143160750"/>
    <x v="6"/>
    <s v="https://drive.google.com/drive/folders/1_qzXJXkwfDIoRvW5jsV-0RHyQlOVsXuZ?usp=sharing"/>
    <n v="3197031376"/>
    <x v="2"/>
    <s v="Atlántico"/>
    <s v="Barranquilla"/>
    <s v="RCE_260102_5"/>
    <m/>
    <d v="2026-01-13T00:00:00"/>
    <s v="Sí"/>
    <s v="Equipo Nacional"/>
    <s v="Sí"/>
    <s v="Activo"/>
    <m/>
    <s v="RCE_260102_5"/>
  </r>
  <r>
    <d v="2025-12-29T00:00:00"/>
    <s v="KAROL XIMENA CARLOSAMA MARTÍNEZ"/>
    <n v="1031646540"/>
    <x v="7"/>
    <s v="https://drive.google.com/drive/folders/1Dz9P5hbhDnUdf4eEGs79TCmLLpPC6Obp"/>
    <n v="3233713556"/>
    <x v="0"/>
    <s v="Bogotá"/>
    <s v="Bogotá"/>
    <s v="RCE_260102_5"/>
    <m/>
    <d v="2026-01-13T00:00:00"/>
    <s v="Sí"/>
    <s v="Equipo Nacional"/>
    <s v="Sí"/>
    <s v="Activo"/>
    <m/>
    <s v="RCE_260102_5"/>
  </r>
  <r>
    <d v="2025-12-29T00:00:00"/>
    <s v="JANNY MARÍA ARBOLEDA "/>
    <n v="1077421294"/>
    <x v="7"/>
    <s v="https://drive.google.com/drive/folders/1pLDq_6PFol_V7tRouE7emLvUVi8oXbSk"/>
    <n v="3127176996"/>
    <x v="3"/>
    <s v="Chocó"/>
    <s v="Quibdó"/>
    <s v="RCE_260102_5"/>
    <m/>
    <d v="2026-01-13T00:00:00"/>
    <s v="Sí"/>
    <s v="Equipo Nacional"/>
    <s v="Sí"/>
    <s v="Activo"/>
    <m/>
    <s v="RCE_260102_5"/>
  </r>
  <r>
    <d v="2026-01-13T00:00:00"/>
    <s v="DANNY DANIEL MARTINEZ TORRES"/>
    <n v="72278232"/>
    <x v="5"/>
    <s v="https://drive.google.com/drive/folders/1tjdRlau5b80qAXiBCF0nsIDM33HJ5IX0?usp=sharing"/>
    <n v="3152003632"/>
    <x v="2"/>
    <s v="Atlántico"/>
    <s v="Barranquilla"/>
    <s v="RCE_260102_5 _x000a_RCE_260106_9 _x000a_RCE_260116_18"/>
    <m/>
    <d v="2026-01-21T00:00:00"/>
    <s v="Sí"/>
    <s v="Equipo Nacional"/>
    <s v="Sí"/>
    <s v="Activo"/>
    <m/>
    <s v="RCE_260102_5 _x000a_RCE_260106_9 _x000a_RCE_260116_18"/>
  </r>
  <r>
    <d v="2026-01-13T00:00:00"/>
    <s v="ROBERTO SALGADO LUGO"/>
    <n v="1063172600"/>
    <x v="5"/>
    <s v="https://drive.google.com/drive/folders/1Pfuwbvfxilnc47_EKRXudTo9jF2_ACOT?usp=sharing"/>
    <n v="3008477350"/>
    <x v="2"/>
    <s v="Córdoba"/>
    <s v="Lorica"/>
    <s v="RCE_260102_5 _x000a_RCE_260116_18"/>
    <m/>
    <d v="2026-01-21T00:00:00"/>
    <s v="Sí"/>
    <s v="Equipo Nacional"/>
    <s v="No"/>
    <s v="En Base de Datos"/>
    <m/>
    <s v="RCE_260102_5 _x000a_RCE_260116_18"/>
  </r>
  <r>
    <d v="2025-12-29T00:00:00"/>
    <s v="LUZ DARY NARVAEZ "/>
    <n v="25272699"/>
    <x v="7"/>
    <s v="https://drive.google.com/drive/folders/1vDnOg85QAP_BoVsO4kuxGpUg-qlsS9X-?usp=sharing"/>
    <n v="3104204528"/>
    <x v="3"/>
    <s v="Cauca"/>
    <s v="Popayán"/>
    <s v="RCE_260102_5_x000a_RCE_260106_9"/>
    <m/>
    <d v="2026-01-13T00:00:00"/>
    <s v="Sí"/>
    <s v="Equipo Nacional"/>
    <s v="Sí"/>
    <s v="Activo"/>
    <m/>
    <s v="RCE_260102_5_x000a_RCE_260106_9"/>
  </r>
  <r>
    <d v="2025-12-29T00:00:00"/>
    <s v="SANDRA MILENA GARCÍA"/>
    <n v="57701996"/>
    <x v="7"/>
    <s v="https://drive.google.com/drive/folders/10czFmF5ZSv-piuFAZ0cn9Z9phxAlww0Y?usp=sharing"/>
    <s v="300 3111312"/>
    <x v="0"/>
    <s v="Bogotá"/>
    <s v="Bogotá"/>
    <s v="RCE_260102_5_x000a_RCE_260106_9"/>
    <m/>
    <d v="2026-01-13T00:00:00"/>
    <s v="Sí"/>
    <s v="Equipo Nacional"/>
    <s v="Sí"/>
    <s v="Activo"/>
    <m/>
    <s v="RCE_260102_5_x000a_RCE_260106_9"/>
  </r>
  <r>
    <d v="2025-12-29T00:00:00"/>
    <s v="XIOMARA ALEXANDRA TORRES JIMENEZ"/>
    <n v="1030602861"/>
    <x v="0"/>
    <s v="https://drive.google.com/drive/folders/1WN0tAJ4rWJABeiRwGDQ7Bes2aO_KbiHT?usp=sharing"/>
    <n v="3118923984"/>
    <x v="0"/>
    <s v="Bogotá"/>
    <s v="Bogotá"/>
    <s v="RCE_260106_10"/>
    <s v="RCE_260102_3"/>
    <d v="2026-01-13T00:00:00"/>
    <s v="Sí"/>
    <s v="Equipo Técnico Territorial"/>
    <s v="Sí"/>
    <s v="Activo"/>
    <m/>
    <s v="RCE_260106_10"/>
  </r>
  <r>
    <d v="2025-12-29T00:00:00"/>
    <s v="OBER CONTRERAS BENITEZ"/>
    <n v="11003600"/>
    <x v="1"/>
    <s v="https://drive.google.com/drive/folders/1Ly4GCHjKnAr9oR_LkFNkxGgYt-fuNGu-"/>
    <n v="3184628449"/>
    <x v="2"/>
    <s v="Córdoba"/>
    <s v="Montería"/>
    <s v="RCE_260106_10"/>
    <s v="RCE_260102_3"/>
    <d v="2026-01-13T00:00:00"/>
    <s v="Sí"/>
    <s v="Equipo Técnico Territorial"/>
    <s v="Sí"/>
    <s v="Activo"/>
    <m/>
    <s v="RCE_260106_10"/>
  </r>
  <r>
    <d v="2026-01-07T00:00:00"/>
    <s v="ANDRES FELIPE CASALLAS CASTRO"/>
    <n v="1052407347"/>
    <x v="8"/>
    <s v="https://drive.google.com/drive/folders/192dsW7ZXAF7q-SFyRnZRvlCyrkhGFwUt?usp=sharing"/>
    <n v="3213183418"/>
    <x v="1"/>
    <s v="Boyacá"/>
    <s v="Duitama"/>
    <s v="RCE_260106_8_x000a_"/>
    <m/>
    <d v="2026-01-13T00:00:00"/>
    <s v="Sí"/>
    <s v="Equipo Nacional"/>
    <s v="No"/>
    <s v="Retirado"/>
    <m/>
    <s v="RCE_260106_8_x000a_"/>
  </r>
  <r>
    <d v="2026-01-03T00:00:00"/>
    <s v="JULIETH ALEJANDRA SANCHEZ DOZA"/>
    <n v="1010068890"/>
    <x v="6"/>
    <s v="https://drive.google.com/drive/folders/1dXOwSNIcZsMbktKPzfOdACPjHbdNhcRN"/>
    <n v="3213871695"/>
    <x v="0"/>
    <s v="Bogotá"/>
    <s v="Bogotá"/>
    <s v="RCE_260106_8_x000a_RCE_260106_9"/>
    <m/>
    <d v="2026-01-13T00:00:00"/>
    <s v="Sí"/>
    <s v="Equipo Nacional"/>
    <s v="Sí"/>
    <s v="Activo"/>
    <m/>
    <s v="RCE_260106_8_x000a_RCE_260106_9"/>
  </r>
  <r>
    <d v="2026-01-03T00:00:00"/>
    <s v="JOSE DAVID GARCÍA PINEDA"/>
    <n v="1007961043"/>
    <x v="7"/>
    <s v="https://drive.google.com/drive/folders/1RlNs3qBWdIa5fbrhzUQWvt-2x4_q_Z1K?usp=sharing"/>
    <n v="3016273810"/>
    <x v="1"/>
    <s v="Norte de Santander"/>
    <s v="Ocaña"/>
    <s v="RCE_260106_8_x000a_RCE_260106_9"/>
    <m/>
    <d v="2026-01-13T00:00:00"/>
    <s v="Sí"/>
    <s v="Equipo Nacional"/>
    <s v="Sí"/>
    <s v="Activo"/>
    <m/>
    <s v="RCE_260106_8_x000a_RCE_260106_9"/>
  </r>
  <r>
    <d v="2026-01-03T00:00:00"/>
    <s v="OSCAR ANDRES CARRILLO FLOREZ"/>
    <n v="1091967573"/>
    <x v="7"/>
    <s v="https://drive.google.com/drive/folders/1_QmM8K_U5Aw5FfZo288YRIT1xxPm7mPA?usp=sharing"/>
    <n v="3223167672"/>
    <x v="1"/>
    <s v="Bogotá"/>
    <s v="Bogotá"/>
    <s v="RCE_260106_8_x000a_RCE_260106_9"/>
    <m/>
    <d v="2026-01-13T00:00:00"/>
    <s v="Sí"/>
    <s v="Equipo Nacional"/>
    <s v="Sí"/>
    <s v="Activo"/>
    <m/>
    <s v="RCE_260106_8_x000a_RCE_260106_9"/>
  </r>
  <r>
    <d v="2026-01-03T00:00:00"/>
    <s v="HAROLD MAURICIO ORDUÑA"/>
    <n v="80255527"/>
    <x v="5"/>
    <s v="https://drive.google.com/drive/folders/1htXiuz8Ir3QVOPZmfNhsHiCYuTH_RAKP?usp=sharing"/>
    <n v="3202221822"/>
    <x v="0"/>
    <s v="Bogotá"/>
    <s v="Bogotá"/>
    <s v="RCE_260106_9"/>
    <m/>
    <d v="2026-01-13T00:00:00"/>
    <s v="Sí"/>
    <s v="Equipo Nacional"/>
    <s v="No"/>
    <s v="En Base de Datos"/>
    <m/>
    <s v="RCE_260106_9"/>
  </r>
  <r>
    <d v="2026-01-03T00:00:00"/>
    <s v="DARLY YANETH ALBA PÁEZ"/>
    <n v="1136889599"/>
    <x v="7"/>
    <s v="https://drive.google.com/drive/folders/1Vd5t6-n6er3R9Vz06_JVRBYxJ0ndXSuK?usp=sharing"/>
    <n v="3114201413"/>
    <x v="2"/>
    <s v="Cesar"/>
    <s v="Aguachica"/>
    <s v="RCE_260106_9"/>
    <m/>
    <d v="2026-01-13T00:00:00"/>
    <s v="Sí"/>
    <s v="Equipo Nacional"/>
    <s v="No"/>
    <s v="Sin Respuesta"/>
    <m/>
    <s v="RCE_260106_9"/>
  </r>
  <r>
    <d v="2025-12-29T00:00:00"/>
    <s v="LAURA CORTÉS GAITÁN"/>
    <n v="1013668398"/>
    <x v="8"/>
    <s v=" https://drive.google.com/drive/folders/1dzvi40GQIa3Nfu08L7D--FZmg_J4AF56"/>
    <n v="3197471514"/>
    <x v="0"/>
    <s v="Bogotá"/>
    <s v="Bogotá"/>
    <s v="RCE_260107_11"/>
    <s v="RCE_260102_3"/>
    <d v="2026-01-13T00:00:00"/>
    <s v="Sí"/>
    <s v="Equipo Nacional"/>
    <s v="Sí"/>
    <s v="Activo"/>
    <m/>
    <s v="RCE_260107_11"/>
  </r>
  <r>
    <d v="2025-12-29T00:00:00"/>
    <s v="ALEJANDRO BARRIOS TRUJILLO"/>
    <n v="79600175"/>
    <x v="5"/>
    <s v="https://drive.google.com/drive/folders/17vatDRci4skYgrZccB0X0rBsjYGRhBVs?usp=sharing"/>
    <n v="3232150929"/>
    <x v="0"/>
    <s v="Caquetá"/>
    <s v="Florencia"/>
    <s v="RCE_260109_13"/>
    <s v="RCE_260102_3_x000a_RCE_260107_11"/>
    <d v="2026-01-13T00:00:00"/>
    <s v="Sí"/>
    <s v="Equipo Nacional"/>
    <s v="Sí"/>
    <s v="Activo"/>
    <m/>
    <s v="RCE_260109_13"/>
  </r>
  <r>
    <d v="2026-01-07T00:00:00"/>
    <s v="JOSE ALEJANDRO BUSTAMANTE RIQUETT"/>
    <n v="1193536286"/>
    <x v="5"/>
    <s v="https://drive.google.com/drive/folders/1aC80AXsI-nwwGCbsi6_wR9FxdURR5Rh6"/>
    <n v="3194135667"/>
    <x v="0"/>
    <s v="Bogotá"/>
    <s v="Bogotá"/>
    <s v="RCE_260109_13"/>
    <s v="RCE_260106_8_x000a_RCE_260106_9"/>
    <d v="2026-01-13T00:00:00"/>
    <s v="Sí"/>
    <s v="Equipo Nacional"/>
    <s v="Sí"/>
    <s v="Activo"/>
    <m/>
    <s v="RCE_260109_13"/>
  </r>
  <r>
    <d v="2026-01-07T00:00:00"/>
    <s v="DIEGO FERNANDO LIZARAZO BARÓN"/>
    <n v="91526637"/>
    <x v="3"/>
    <s v="https://drive.google.com/drive/folders/1ugT0mwdbtEy5DVZsmcxJtUC1iI8wJpda"/>
    <n v="3002898512"/>
    <x v="0"/>
    <s v="Bogotá"/>
    <s v="Bogotá"/>
    <s v="RCE_260109_13"/>
    <m/>
    <d v="2026-01-13T00:00:00"/>
    <s v="Sí"/>
    <s v="Equipo Nacional"/>
    <s v="Sí"/>
    <s v="Activo"/>
    <m/>
    <s v="RCE_260109_13"/>
  </r>
  <r>
    <d v="2026-01-07T00:00:00"/>
    <s v="JHON JAIRO NOGUERA"/>
    <n v="1012419128"/>
    <x v="0"/>
    <s v="https://drive.google.com/drive/folders/140UQ7pXm7pnJJTM4bJg8hyL1qxUJ1o45?usp=sharing"/>
    <n v="3107531191"/>
    <x v="0"/>
    <s v="Bogotá"/>
    <s v="Bogotá"/>
    <s v="RCE_260109_13"/>
    <m/>
    <d v="2026-01-13T00:00:00"/>
    <s v="Sí"/>
    <s v="Equipo Técnico Territorial"/>
    <s v="Sí"/>
    <s v="Activo"/>
    <m/>
    <s v="RCE_260109_13"/>
  </r>
  <r>
    <d v="2026-01-07T00:00:00"/>
    <s v="LEONARDO ENRIQUE PELÁEZ BUITRAGO"/>
    <n v="75088001"/>
    <x v="1"/>
    <s v="https://drive.google.com/drive/folders/1ISwyFx4qNPaIyKAPNOoJw1nYLnJYiB_G"/>
    <s v="313 415 4614"/>
    <x v="0"/>
    <s v="Bogotá"/>
    <s v="Bogotá"/>
    <s v="RCE_260109_13"/>
    <m/>
    <d v="2026-01-13T00:00:00"/>
    <s v="Sí"/>
    <s v="Equipo Técnico Territorial"/>
    <s v="No"/>
    <s v="Retirado"/>
    <m/>
    <s v="RCE_260109_13"/>
  </r>
  <r>
    <d v="2026-01-07T00:00:00"/>
    <s v="ANA VICTORIA USAGA DAVID"/>
    <n v="1017124166"/>
    <x v="1"/>
    <s v="https://drive.google.com/drive/u/1/folders/1sU1z8KafVvJrheCrErKkkZtoIf2GFOsP"/>
    <n v="3116738957"/>
    <x v="3"/>
    <s v="Antioquia"/>
    <s v="Buriticá"/>
    <s v="RCE_260109_13"/>
    <m/>
    <d v="2026-01-13T00:00:00"/>
    <s v="Sí"/>
    <s v="Equipo Técnico Territorial"/>
    <s v="Sí"/>
    <s v="Activo"/>
    <m/>
    <s v="RCE_260109_13"/>
  </r>
  <r>
    <d v="2026-01-07T00:00:00"/>
    <s v="FABIO ANDRÉS RINCÓN LOZANO"/>
    <n v="1065875433"/>
    <x v="1"/>
    <s v="https://drive.google.com/drive/folders/17GromPFOABiThooep9R3E-FMtneT1ait"/>
    <n v="3172136009"/>
    <x v="2"/>
    <s v="Cesar"/>
    <s v="Aguachica"/>
    <s v="RCE_260109_13"/>
    <m/>
    <d v="2026-01-13T00:00:00"/>
    <s v="Sí"/>
    <s v="Equipo Técnico Territorial"/>
    <s v="Sí"/>
    <s v="Activo"/>
    <m/>
    <s v="RCE_260109_13"/>
  </r>
  <r>
    <d v="2026-01-07T00:00:00"/>
    <s v="DIEGO FERNANDO OVIEDO MEDINA"/>
    <n v="1018417285"/>
    <x v="1"/>
    <s v="https://drive.google.com/drive/u/1/folders/1bXaBBrDr_WCwnLjO-lG-QRdlgI-5SRux"/>
    <s v="3133492495/3164354792"/>
    <x v="3"/>
    <s v="Valle del cauca"/>
    <s v="Palmira"/>
    <s v="RCE_260109_13"/>
    <m/>
    <d v="2026-01-17T00:00:00"/>
    <s v="Sí"/>
    <s v="Equipo Técnico Territorial"/>
    <s v="Sí"/>
    <s v="Activo"/>
    <m/>
    <s v="RCE_260109_13"/>
  </r>
  <r>
    <d v="2026-01-07T00:00:00"/>
    <s v="VIVIANA PATRICIA RAMOS GUZMAN"/>
    <n v="28556566"/>
    <x v="4"/>
    <s v="https://drive.google.com/drive/folders/1bTG1LNIkMbT5vW7WWZHC8dyJAx_AYxYD"/>
    <s v="317 6809533 – 310 3265477"/>
    <x v="4"/>
    <s v="Bogotá"/>
    <s v="Bogotá"/>
    <s v="RCE_260109_13"/>
    <m/>
    <d v="2026-01-13T00:00:00"/>
    <s v="Sí"/>
    <s v="Equipo Nacional"/>
    <s v="Sí"/>
    <s v="Activo"/>
    <m/>
    <s v="RCE_260109_13"/>
  </r>
  <r>
    <d v="2026-01-07T00:00:00"/>
    <s v="ALEXANDER CARDENAS BARRIOS"/>
    <n v="1012437010"/>
    <x v="8"/>
    <s v="https://drive.google.com/drive/folders/1114T75FrhIKd-7egQhkoSc2UV_4CCvb3?usp=drive_link"/>
    <n v="3005328220"/>
    <x v="0"/>
    <s v="Bogotá"/>
    <s v="Bogotá"/>
    <s v="RCE_260109_13"/>
    <m/>
    <d v="2026-01-13T00:00:00"/>
    <s v="Sí"/>
    <s v="Equipo Nacional"/>
    <s v="Sí"/>
    <s v="Activo"/>
    <m/>
    <s v="RCE_260109_13"/>
  </r>
  <r>
    <d v="2026-01-07T00:00:00"/>
    <s v="LAURA CAMILA NARANJO SARMIENTO"/>
    <n v="1012462137"/>
    <x v="8"/>
    <s v="https://drive.google.com/drive/folders/1nweZBxXRHcawBvpqJCijzct89Up1_Was"/>
    <s v="300 415 3381"/>
    <x v="0"/>
    <s v="Bogotá"/>
    <s v="Bogotá"/>
    <s v="RCE_260109_13"/>
    <m/>
    <d v="2026-01-13T00:00:00"/>
    <s v="Sí"/>
    <s v="Equipo Nacional"/>
    <s v="Sí"/>
    <s v="Activo"/>
    <m/>
    <s v="RCE_260109_13"/>
  </r>
  <r>
    <d v="2026-01-07T00:00:00"/>
    <s v="SARAMINTA SÁNCHEZ ARANGO"/>
    <n v="40393795"/>
    <x v="5"/>
    <s v="https://drive.google.com/drive/u/1/folders/1YR4p7IhOAIAsbDWKTbl1lZLssetKXEFB"/>
    <n v="3219459143"/>
    <x v="0"/>
    <s v="Meta"/>
    <s v="Villavicencio"/>
    <s v="RCE_260109_13"/>
    <m/>
    <d v="2026-01-13T00:00:00"/>
    <s v="Sí"/>
    <s v="Equipo Nacional"/>
    <s v="Sí"/>
    <s v="Activo"/>
    <m/>
    <s v="RCE_260109_13"/>
  </r>
  <r>
    <d v="2026-01-07T00:00:00"/>
    <s v="ANGIE MILENA NARANJO SARMIENTO"/>
    <n v="1012427818"/>
    <x v="5"/>
    <s v="https://drive.google.com/drive/folders/1igzahsD2XT7ynoqMl1JenJlag8GjP1eB"/>
    <s v="319 689 1634"/>
    <x v="0"/>
    <s v="Bogotá"/>
    <s v="Bogotá"/>
    <s v="RCE_260109_13"/>
    <m/>
    <d v="2026-01-13T00:00:00"/>
    <s v="Sí"/>
    <s v="Equipo Nacional"/>
    <s v="Sí"/>
    <s v="Activo"/>
    <m/>
    <s v="RCE_260109_13"/>
  </r>
  <r>
    <d v="2026-01-07T00:00:00"/>
    <s v="MARIA ALEJANDRA RIOS DÍAZ"/>
    <n v="1098607877"/>
    <x v="6"/>
    <s v="https://drive.google.com/drive/u/1/folders/1psNRBC2-rc_YnA7i4r_UV5RlaisvBZOg"/>
    <n v="3015013628"/>
    <x v="0"/>
    <s v="Bogotá"/>
    <s v="Bogotá"/>
    <s v="RCE_260109_13"/>
    <m/>
    <d v="2026-01-13T00:00:00"/>
    <s v="Sí"/>
    <s v="Equipo Nacional"/>
    <s v="Sí"/>
    <s v="Retirado"/>
    <s v="Retirada 24/02/2026"/>
    <s v="RCE_260109_13"/>
  </r>
  <r>
    <d v="2026-01-07T00:00:00"/>
    <s v="DEYSSY PATRICIA TOVAR"/>
    <n v="52315830"/>
    <x v="7"/>
    <s v="https://drive.google.com/drive/folders/1rV9sAM3swms-NvrwBPq_ZaJpnXO9qQHB?usp=sharing"/>
    <n v="3142826978"/>
    <x v="0"/>
    <s v="Bogotá"/>
    <s v="Bogotá"/>
    <s v="RCE_260109_13"/>
    <m/>
    <d v="2026-01-13T00:00:00"/>
    <s v="Sí"/>
    <s v="Equipo Nacional"/>
    <s v="Sí"/>
    <s v="Activo"/>
    <m/>
    <s v="RCE_260109_13"/>
  </r>
  <r>
    <d v="2026-01-13T00:00:00"/>
    <s v="ANGIE ESTEFANIA LINAREZ ROJAS"/>
    <n v="1010038738"/>
    <x v="5"/>
    <s v="https://drive.google.com/drive/folders/1rQALceEzUmd7Z8vLTyar07S9r_IZegVT?usp=drive_link"/>
    <n v="3223610539"/>
    <x v="0"/>
    <s v="Bogotá"/>
    <s v="Bogotá"/>
    <s v="RCE_260109_13 _x000a_RCE_260116_18"/>
    <m/>
    <d v="2026-01-21T00:00:00"/>
    <s v="Sí"/>
    <s v="Equipo Nacional"/>
    <s v="Sí"/>
    <s v="Activo"/>
    <m/>
    <s v="RCE_260109_13 _x000a_RCE_260116_18"/>
  </r>
  <r>
    <d v="2026-01-13T00:00:00"/>
    <s v="ADRIANA PILAR LEAL ALFONSO"/>
    <n v="1012334681"/>
    <x v="5"/>
    <s v="https://drive.google.com/drive/folders/1BzmHZ9AzbUk_t97ZRxGA6SB5bl5FD36g"/>
    <s v="3108873339 - 3208309836"/>
    <x v="0"/>
    <s v="Bogotá"/>
    <s v="Bogotá"/>
    <s v="RCE_260109_13 _x000a_RCE_260116_18"/>
    <m/>
    <d v="2026-01-21T00:00:00"/>
    <s v="Sí"/>
    <s v="Equipo Nacional"/>
    <s v="Sí"/>
    <s v="Activo"/>
    <m/>
    <s v="RCE_260109_13 _x000a_RCE_260116_18"/>
  </r>
  <r>
    <d v="2025-12-29T00:00:00"/>
    <s v="ALEJANDRA ROMERO CASTILLO"/>
    <n v="1001113227"/>
    <x v="7"/>
    <s v="https://drive.google.com/drive/folders/1kj7rZzDVQ8DLc8ATtZeidgd2CDZlevKQ"/>
    <n v="3168592241"/>
    <x v="2"/>
    <s v="Bogotá"/>
    <s v="Bogotá"/>
    <s v="RCE_260109_13_x000a_RCE_260122_28_x000a_RCE_260205_39"/>
    <s v="RCE_260105_7"/>
    <d v="2026-01-27T00:00:00"/>
    <s v="Sí"/>
    <s v="Equipo Nacional"/>
    <s v="Sí"/>
    <s v="Activo"/>
    <s v="Cambio de Rol"/>
    <s v="RCE_260109_13_x000a_RCE_260122_28"/>
  </r>
  <r>
    <d v="2026-01-07T00:00:00"/>
    <s v="RAFAEL ANGEL SANCHEZ LUNA"/>
    <n v="72125108"/>
    <x v="1"/>
    <s v="https://drive.google.com/drive/folders/1_eJnT_s1J6XszrSXDqA96-HMhgZTods6?usp=sharing"/>
    <n v="3207717327"/>
    <x v="2"/>
    <s v="Cesar"/>
    <s v="Aguachica"/>
    <s v="RCE_260109_14 "/>
    <m/>
    <d v="2026-01-13T00:00:00"/>
    <s v="Sí"/>
    <s v="Equipo Técnico Territorial"/>
    <s v="Sí"/>
    <s v="Activo"/>
    <m/>
    <s v="RCE_260109_14 "/>
  </r>
  <r>
    <d v="2026-01-07T00:00:00"/>
    <s v="GERMAN RICARDO TRIANA IBARRA"/>
    <n v="11438274"/>
    <x v="4"/>
    <s v="https://drive.google.com/drive/u/0/folders/1Dm9toElCUhi6jKTjx2CuqOoOT5wO1o5O"/>
    <n v="3125775124"/>
    <x v="0"/>
    <s v="Bogotá"/>
    <s v="Bogotá"/>
    <s v="RCE_260109_14 "/>
    <m/>
    <d v="2026-01-13T00:00:00"/>
    <s v="Sí"/>
    <s v="Equipo Nacional"/>
    <s v="Sí"/>
    <s v="Activo"/>
    <m/>
    <s v="RCE_260109_14 "/>
  </r>
  <r>
    <d v="2026-01-07T00:00:00"/>
    <s v="PAOLA ANDREA MAYORGA AVILES"/>
    <n v="1030666129"/>
    <x v="4"/>
    <s v="https://drive.google.com/drive/folders/1qmvwprXCT80TevLFyGldvH-wxTYsPza4?usp=share_link"/>
    <n v="3132947666"/>
    <x v="0"/>
    <s v="Bogotá"/>
    <s v="Bogotá"/>
    <s v="RCE_260109_14 "/>
    <m/>
    <d v="2026-01-13T00:00:00"/>
    <s v="Sí"/>
    <s v="Equipo Nacional"/>
    <s v="Sí"/>
    <s v="Activo"/>
    <m/>
    <s v="RCE_260109_14 "/>
  </r>
  <r>
    <d v="2026-01-07T00:00:00"/>
    <s v="ZAMANTHA GONZALEZ CUESTA"/>
    <n v="1049622701"/>
    <x v="5"/>
    <s v="https://drive.google.com/drive/folders/1bythcTsEYPpd7ggAHSiOo0N3d4zL5rFP"/>
    <n v="3209471762"/>
    <x v="0"/>
    <s v="Bogotá"/>
    <s v="Bogotá"/>
    <s v="RCE_260109_14 "/>
    <m/>
    <d v="2026-01-13T00:00:00"/>
    <s v="Sí"/>
    <s v="Equipo Nacional"/>
    <s v="Sí"/>
    <s v="Activo"/>
    <m/>
    <s v="RCE_260109_14 "/>
  </r>
  <r>
    <d v="2026-01-07T00:00:00"/>
    <s v="CAROLINA BLANCO VILLAMIZAR"/>
    <n v="37864950"/>
    <x v="6"/>
    <s v="https://drive.google.com/drive/folders/1C0itfnaKpJ4BMOPeVwn9hUUtFkoPjnwS"/>
    <n v="3125872033"/>
    <x v="1"/>
    <s v="Arauca"/>
    <s v="Saravena"/>
    <s v="RCE_260109_14 "/>
    <m/>
    <d v="2026-01-13T00:00:00"/>
    <s v="Sí"/>
    <s v="Equipo Nacional"/>
    <s v="Sí"/>
    <s v="Activo"/>
    <m/>
    <s v="RCE_260109_14 "/>
  </r>
  <r>
    <d v="2026-01-07T00:00:00"/>
    <s v="NANCY PAOLA BOLIVAR CUCHIA"/>
    <n v="52216823"/>
    <x v="7"/>
    <s v="https://drive.google.com/drive/u/0/folders/1wez4-H6u8h-ll3ytUw1k076VLVR6y14Z"/>
    <s v="301 3877377"/>
    <x v="0"/>
    <s v="Bogotá"/>
    <s v="Bogotá"/>
    <s v="RCE_260109_14 "/>
    <m/>
    <d v="2026-01-13T00:00:00"/>
    <s v="Sí"/>
    <s v="Equipo Nacional"/>
    <s v="Sí"/>
    <s v="Activo"/>
    <m/>
    <s v="RCE_260109_14 "/>
  </r>
  <r>
    <d v="2026-01-10T00:00:00"/>
    <s v="YANINFA MENA PALACIOS"/>
    <n v="35570118"/>
    <x v="2"/>
    <s v="https://drive.google.com/drive/folders/1a60CwOA7OAXE_z5DA2Y5gtnjZcL6RLHN?usp=sharing"/>
    <n v="3216293417"/>
    <x v="3"/>
    <s v="Chocó"/>
    <s v="Quibdó"/>
    <s v="RCE_260114_15"/>
    <m/>
    <m/>
    <s v="Sí"/>
    <s v="Equipo Técnico Territorial"/>
    <s v="Sí"/>
    <m/>
    <m/>
    <m/>
  </r>
  <r>
    <d v="2026-01-10T00:00:00"/>
    <s v="MARIA DIANNI PALACIOS PALACIOS"/>
    <n v="35896960"/>
    <x v="2"/>
    <s v="https://drive.google.com/drive/folders/1kZjMbfgQo_bShyrvGVsYnATvUp59X6ae?usp=sharing"/>
    <n v="3216405726"/>
    <x v="3"/>
    <s v="Chocó"/>
    <s v="Quibdó"/>
    <s v="RCE_260114_15"/>
    <m/>
    <d v="2026-01-17T00:00:00"/>
    <s v="Sí"/>
    <s v="Equipo Técnico Territorial"/>
    <s v="Sí"/>
    <s v="Activo"/>
    <m/>
    <s v="RCE_260114_15"/>
  </r>
  <r>
    <d v="2026-01-10T00:00:00"/>
    <s v="YENECY CORDOBA VALOYES"/>
    <n v="1077447769"/>
    <x v="2"/>
    <s v="https://drive.google.com/drive/folders/1ZDKcOcj0MvJJBvmGuPAHjuHCcvUdAYo7?usp=sharing"/>
    <n v="3233760316"/>
    <x v="3"/>
    <s v="Chocó"/>
    <s v="Quibdó"/>
    <s v="RCE_260114_15"/>
    <m/>
    <d v="2026-01-17T00:00:00"/>
    <s v="Sí"/>
    <s v="Equipo Técnico Territorial"/>
    <s v="Sí"/>
    <s v="Activo"/>
    <m/>
    <s v="RCE_260114_15"/>
  </r>
  <r>
    <d v="2026-01-10T00:00:00"/>
    <s v="ANDRES ARCE LOPEZ"/>
    <n v="1152469339"/>
    <x v="1"/>
    <s v="https://drive.google.com/drive/folders/1SE6rNV8zP7ssl9-jrAyv4DYLkKEgutHH?usp=sharing"/>
    <n v="3207490294"/>
    <x v="3"/>
    <s v="Chocó"/>
    <s v="Quibdó"/>
    <s v="RCE_260114_15"/>
    <m/>
    <d v="2026-01-21T00:00:00"/>
    <s v="Sí"/>
    <s v="Equipo Técnico Territorial"/>
    <s v="Sí"/>
    <s v="Activo"/>
    <s v="Perfil Cumple Gestor y Coordinador local"/>
    <s v="RCE_260114_15"/>
  </r>
  <r>
    <d v="2026-01-10T00:00:00"/>
    <s v="OSCARINA LACOUTURE SALINAS"/>
    <n v="49720418"/>
    <x v="2"/>
    <s v="https://drive.google.com/drive/folders/1S9NTU2QVXZ25MYFB_CvrcISe3mpYabKo?usp=sharing"/>
    <n v="3176387992"/>
    <x v="2"/>
    <s v="Cesar"/>
    <s v="Valledupar"/>
    <s v="RCE_260115_17"/>
    <m/>
    <d v="2026-01-17T00:00:00"/>
    <s v="Sí"/>
    <s v="Equipo Técnico Territorial"/>
    <s v="No"/>
    <s v="Retirado"/>
    <s v="Renuncio al proceso"/>
    <s v="RCE_260115_17"/>
  </r>
  <r>
    <d v="2026-01-10T00:00:00"/>
    <s v="EDUARD ENRIQUE CANO HERNANDEZ"/>
    <n v="1012432233"/>
    <x v="2"/>
    <s v="https://drive.google.com/drive/folders/1UkifqUz0H1Mw4PvtPxdpXG1KYNMYfoEE?usp=sharing"/>
    <n v="3114785812"/>
    <x v="0"/>
    <s v="Bogotá"/>
    <s v="Bogotá"/>
    <s v="RCE_260115_17"/>
    <m/>
    <d v="2026-01-17T00:00:00"/>
    <s v="Sí"/>
    <s v="Equipo Técnico Territorial"/>
    <s v="Sí"/>
    <s v="Activo"/>
    <m/>
    <s v="RCE_260115_17"/>
  </r>
  <r>
    <d v="2026-01-10T00:00:00"/>
    <s v="NATALIA GÓMEZ HUERTAS"/>
    <n v="1024550572"/>
    <x v="2"/>
    <s v="https://drive.google.com/drive/folders/17jUvhJhkNTmYlM4cYwaYnPnOdQ2Y4S0v?usp=sharing"/>
    <s v="316 433 20 27"/>
    <x v="0"/>
    <s v="Bogotá"/>
    <s v="Bogotá"/>
    <s v="RCE_260115_17"/>
    <m/>
    <d v="2026-01-17T00:00:00"/>
    <s v="Sí"/>
    <s v="Equipo Técnico Territorial"/>
    <s v="No"/>
    <s v="Retirado"/>
    <m/>
    <s v="RCE_260115_17"/>
  </r>
  <r>
    <d v="2026-01-10T00:00:00"/>
    <s v="Olgamilena Jaramillo León"/>
    <n v="1033724236"/>
    <x v="2"/>
    <s v="https://drive.google.com/drive/folders/1IQYrSdQ8at8U3kmPxq_Ka-B2hfRo1qfe?usp=sharing"/>
    <s v="320 4152413"/>
    <x v="0"/>
    <s v="Bogotá"/>
    <s v="Bogotá"/>
    <s v="RCE_260115_17"/>
    <m/>
    <d v="2026-01-17T00:00:00"/>
    <s v="Sí"/>
    <s v="Equipo Técnico Territorial"/>
    <s v="Sí"/>
    <s v="Activo"/>
    <m/>
    <s v="RCE_260115_17"/>
  </r>
  <r>
    <d v="2026-01-10T00:00:00"/>
    <s v="JOHANNA PAOLA ARRAUTH ACOSTA"/>
    <n v="1064986436"/>
    <x v="2"/>
    <s v="https://drive.google.com/drive/folders/1QUoO9PYo3hBaoF8B-G3QOZEXbMJAN0ft?usp=sharing"/>
    <n v="3004725119"/>
    <x v="2"/>
    <s v="Sucre"/>
    <s v="Sincelejo"/>
    <s v="RCE_260115_17"/>
    <m/>
    <d v="2026-01-17T00:00:00"/>
    <s v="Sí"/>
    <s v="Equipo Técnico Territorial"/>
    <s v="Sí"/>
    <s v="Activo"/>
    <m/>
    <s v="RCE_260115_17"/>
  </r>
  <r>
    <d v="2026-01-10T00:00:00"/>
    <s v="MONICA SANCHEZ YAYA"/>
    <n v="1072649288"/>
    <x v="2"/>
    <s v="https://drive.google.com/drive/folders/19KczPXIQwkfXcC9GLMAwqPHVy0WhtdJN?usp=sharing"/>
    <s v="310 2862514"/>
    <x v="4"/>
    <s v="Cundinamarca"/>
    <s v="Chía"/>
    <s v="RCE_260115_17"/>
    <m/>
    <d v="2026-01-17T00:00:00"/>
    <s v="Sí"/>
    <s v="Equipo Técnico Territorial"/>
    <s v="No"/>
    <s v="Retirado"/>
    <m/>
    <s v="RCE_260115_17"/>
  </r>
  <r>
    <d v="2026-01-10T00:00:00"/>
    <s v="RAÚL TOMSON SALAS BEYTAR"/>
    <n v="8324104"/>
    <x v="1"/>
    <s v="https://drive.google.com/drive/folders/1mijS_f0STcB_ts1hwR62zyZrCiWxk_cn?usp=sharing"/>
    <n v="3114399647"/>
    <x v="3"/>
    <s v="Antioquia"/>
    <s v="Apartadó"/>
    <s v="RCE_260115_17"/>
    <m/>
    <d v="2026-01-17T00:00:00"/>
    <s v="Sí"/>
    <s v="Equipo Técnico Territorial"/>
    <s v="Sí"/>
    <s v="Activo"/>
    <m/>
    <s v="RCE_260115_17"/>
  </r>
  <r>
    <d v="2026-01-10T00:00:00"/>
    <s v="MIGUEL EDUARDO OLMOS DE LA ROSA"/>
    <n v="8641177"/>
    <x v="1"/>
    <s v="https://drive.google.com/drive/folders/18ek6dQDyIPXEbEx8DbfjCdwIggyrvG7a?usp=sharing"/>
    <n v="3004428375"/>
    <x v="2"/>
    <s v="Atlántico"/>
    <s v="Sabanalarga"/>
    <s v="RCE_260115_17"/>
    <m/>
    <d v="2026-01-17T00:00:00"/>
    <s v="Sí"/>
    <s v="Equipo Técnico Territorial"/>
    <s v="No"/>
    <s v="Retirado"/>
    <m/>
    <s v="RCE_260115_17"/>
  </r>
  <r>
    <d v="2026-01-10T00:00:00"/>
    <s v="RAFAEL ENRIQUE ARRAZOLA BEDOYA"/>
    <n v="10285901"/>
    <x v="1"/>
    <s v="https://drive.google.com/drive/folders/10ZE1mJe7e2AUkuSKh6irra4fygr-MIO_?usp=sharing"/>
    <n v="3108544203"/>
    <x v="4"/>
    <s v="Risaralda"/>
    <s v="Pereira"/>
    <s v="RCE_260115_17"/>
    <m/>
    <d v="2026-01-17T00:00:00"/>
    <s v="Sí"/>
    <s v="Equipo Técnico Territorial"/>
    <s v="No"/>
    <s v="Retirado"/>
    <s v="Renuncia al proceso"/>
    <s v="RCE_260115_17"/>
  </r>
  <r>
    <d v="2026-01-10T00:00:00"/>
    <s v="ANTHONY RONDON CAMACHO"/>
    <n v="14295673"/>
    <x v="1"/>
    <s v="https://drive.google.com/drive/folders/1JFK2KpKtyA9Xyg44gFV4-Kdqo5F6nBuB?usp=sharing"/>
    <n v="3208144940"/>
    <x v="4"/>
    <s v="Tolima"/>
    <s v="Ibagué"/>
    <s v="RCE_260115_17"/>
    <m/>
    <d v="2026-01-17T00:00:00"/>
    <s v="Sí"/>
    <s v="Equipo Técnico Territorial"/>
    <s v="No"/>
    <s v="Retirado"/>
    <m/>
    <s v="RCE_260115_17"/>
  </r>
  <r>
    <d v="2026-01-10T00:00:00"/>
    <s v="IVONNE ANDREA BAUTISTA DÍAZ"/>
    <n v="52764722"/>
    <x v="1"/>
    <s v="https://drive.google.com/drive/folders/1Yhp8gHFhJfm_RQifJECKCmaIAXkBhSmm?usp=sharing"/>
    <s v="315-8692810"/>
    <x v="4"/>
    <s v="Bogotá"/>
    <s v="Bogotá"/>
    <s v="RCE_260115_17"/>
    <m/>
    <d v="2026-01-17T00:00:00"/>
    <s v="Sí"/>
    <s v="Equipo Técnico Territorial"/>
    <s v="Sí"/>
    <s v="Activo"/>
    <m/>
    <s v="RCE_260115_17"/>
  </r>
  <r>
    <d v="2026-01-10T00:00:00"/>
    <s v="OSCAR FERNANDO CUBILLOS"/>
    <n v="74181048"/>
    <x v="1"/>
    <s v="https://drive.google.com/drive/folders/1spy83z2g04ypXRk2x5pNRt1Zs-nuIwd6?usp=sharing"/>
    <n v="3204492481"/>
    <x v="4"/>
    <s v="Tolima"/>
    <s v="Ibagué"/>
    <s v="RCE_260115_17"/>
    <m/>
    <d v="2026-01-17T00:00:00"/>
    <s v="Sí"/>
    <s v="Equipo Técnico Territorial"/>
    <s v="Sí"/>
    <s v="Activo"/>
    <m/>
    <s v="RCE_260115_17"/>
  </r>
  <r>
    <d v="2026-01-10T00:00:00"/>
    <s v="DIEGO ARMANDO OSPINA TOVAR."/>
    <n v="79977580"/>
    <x v="1"/>
    <s v="https://drive.google.com/drive/folders/1fb6jHqSQRZBiFvhH1cqLJZfFyg7iBxAK?usp=sharing"/>
    <n v="3203479612"/>
    <x v="0"/>
    <s v="Bogotá"/>
    <s v="Bogotá"/>
    <s v="RCE_260115_17"/>
    <m/>
    <d v="2026-01-17T00:00:00"/>
    <s v="Sí"/>
    <s v="Equipo Técnico Territorial"/>
    <s v="Sí"/>
    <s v="Activo"/>
    <m/>
    <s v="RCE_260115_17"/>
  </r>
  <r>
    <d v="2026-01-10T00:00:00"/>
    <s v="MANUEL DARIO CASTRO PINILLA"/>
    <n v="80095778"/>
    <x v="1"/>
    <s v="https://drive.google.com/drive/folders/1DcHyPLTL9GlpwG2dlqHDCJg7vgFpRaus?usp=sharing"/>
    <s v="317 368 4308"/>
    <x v="0"/>
    <s v="Bogotá"/>
    <s v="Bogotá"/>
    <s v="RCE_260115_17"/>
    <m/>
    <d v="2026-01-17T00:00:00"/>
    <s v="Sí"/>
    <s v="Equipo Técnico Territorial"/>
    <s v="No"/>
    <s v="Retirado"/>
    <m/>
    <s v="RCE_260115_17"/>
  </r>
  <r>
    <d v="2026-01-10T00:00:00"/>
    <s v="LOBSANG RAFAEL ZAPATA"/>
    <n v="1020724601"/>
    <x v="1"/>
    <s v="https://drive.google.com/drive/folders/1K2H-IqqrJ6tzxHhJ9vjU6-NJxrSvpAmi?usp=sharing"/>
    <n v="3184101439"/>
    <x v="4"/>
    <s v="Cundinamarca"/>
    <s v="Cajicá"/>
    <s v="RCE_260115_17"/>
    <m/>
    <d v="2026-01-17T00:00:00"/>
    <s v="Sí"/>
    <s v="Equipo Técnico Territorial"/>
    <s v="No"/>
    <s v="Retirado"/>
    <m/>
    <s v="RCE_260115_17"/>
  </r>
  <r>
    <d v="2026-01-10T00:00:00"/>
    <s v="WILMAR JAVIER FORERO URREGO"/>
    <n v="1070705943"/>
    <x v="1"/>
    <s v="https://drive.google.com/drive/folders/1Fzhb7SFuDe1cgsXj59TZrXQKAvs0YXRk?usp=sharing"/>
    <n v="3123289168"/>
    <x v="4"/>
    <s v="Cundinamarca"/>
    <s v="El rosal"/>
    <s v="RCE_260115_17"/>
    <m/>
    <d v="2026-01-17T00:00:00"/>
    <s v="Sí"/>
    <s v="Equipo Técnico Territorial"/>
    <s v="Sí"/>
    <s v="Activo"/>
    <m/>
    <s v="RCE_260115_17"/>
  </r>
  <r>
    <d v="2026-01-10T00:00:00"/>
    <s v="KEYLA YINETH ROBLES QUIENTERO"/>
    <n v="1091665088"/>
    <x v="1"/>
    <s v="https://drive.google.com/drive/folders/1oxobozdZ7fO2sq6VIZqFMr1kWnmhtqZZ?usp=sharing"/>
    <n v="3167534128"/>
    <x v="1"/>
    <s v="Norte de Santander"/>
    <s v="Ocaña "/>
    <s v="RCE_260115_17"/>
    <m/>
    <d v="2026-01-17T00:00:00"/>
    <s v="Sí"/>
    <s v="Equipo Técnico Territorial"/>
    <s v="No"/>
    <s v="Retirado"/>
    <m/>
    <s v="RCE_260115_17"/>
  </r>
  <r>
    <d v="2026-01-10T00:00:00"/>
    <s v="ANGELICA PEÑALOZA MARTINEZ"/>
    <n v="52693344"/>
    <x v="2"/>
    <s v="https://drive.google.com/drive/folders/1lp0lQFoHpuYKopMGFzmfvk0Stk7qQjkW?usp=drive_link"/>
    <n v="3229398022"/>
    <x v="0"/>
    <s v="Bogotá"/>
    <s v="Bogotá"/>
    <s v="RCE_260115_17_x000a_RCE_260121_24_x000a_"/>
    <m/>
    <d v="2026-01-27T00:00:00"/>
    <s v="Sí"/>
    <s v="Equipo Técnico Territorial"/>
    <s v="Sí"/>
    <s v="Activo"/>
    <s v="Cambio de Rol"/>
    <s v="RCE_260115_17_x000a_RCE_260121_24_x000a_"/>
  </r>
  <r>
    <d v="2026-01-10T00:00:00"/>
    <s v="EMEL FRANCISCO CONSTANTE ORTEGA"/>
    <n v="6870817"/>
    <x v="1"/>
    <s v="https://drive.google.com/drive/folders/1N8qkQSGKhSyFRt9jURH5KPNbEQP3LwMj?usp=sharing"/>
    <s v="3215879724, 3016571863"/>
    <x v="2"/>
    <s v="Cesar"/>
    <s v="Valledupar"/>
    <s v="RCE_260115_17_x000a_RCE_260121_24_x000a_"/>
    <m/>
    <d v="2026-01-27T00:00:00"/>
    <s v="Sí"/>
    <s v="Equipo Técnico Territorial"/>
    <s v="Sí"/>
    <s v="Activo"/>
    <s v="Cambio de Rol"/>
    <s v="RCE_260116_18"/>
  </r>
  <r>
    <d v="2026-01-10T00:00:00"/>
    <s v="NATHALY JOHANA RIASCOS MAYA"/>
    <n v="37088246"/>
    <x v="2"/>
    <s v="https://drive.google.com/drive/folders/197k9oFXOPt1kC-zJmxTCK8dty206kxyy?usp=sharing"/>
    <n v="3023532173"/>
    <x v="3"/>
    <s v="Nariño"/>
    <s v="PASTO"/>
    <s v="RCE_260116_18"/>
    <m/>
    <d v="2026-01-17T00:00:00"/>
    <s v="Sí"/>
    <s v="Equipo Técnico Territorial"/>
    <s v="Sí"/>
    <s v="Activo"/>
    <m/>
    <s v="RCE_260116_18"/>
  </r>
  <r>
    <d v="2026-01-10T00:00:00"/>
    <s v="YADIRA LEYDA TOBÓN ARTEAGA"/>
    <n v="32109444"/>
    <x v="1"/>
    <s v="https://drive.google.com/drive/folders/1yFKfg36LTLy2S_glOatNyTS5_VIZvAXF?usp=sharing"/>
    <n v="3144870932"/>
    <x v="3"/>
    <s v="Antioquia"/>
    <s v="Barbosa"/>
    <s v="RCE_260116_18"/>
    <m/>
    <d v="2026-01-17T00:00:00"/>
    <s v="Sí"/>
    <s v="Equipo Técnico Territorial"/>
    <s v="No"/>
    <s v="Retirado"/>
    <s v="Renuncia al proceso"/>
    <s v="RCE_260116_18"/>
  </r>
  <r>
    <d v="2026-01-10T00:00:00"/>
    <s v="LEDY LUZ CONTRERAS CONTRERAS"/>
    <n v="110280373"/>
    <x v="1"/>
    <s v="https://drive.google.com/drive/folders/1Tjc6vFUd1UvWtJSYrPjbbVijiGge8qUv?usp=sharing"/>
    <n v="3106715859"/>
    <x v="2"/>
    <s v="Sucre"/>
    <s v="Sincelejo"/>
    <s v="RCE_260116_18"/>
    <m/>
    <d v="2026-01-17T00:00:00"/>
    <s v="Sí"/>
    <s v="Equipo Técnico Territorial"/>
    <s v="Sí"/>
    <s v="Activo"/>
    <m/>
    <s v="RCE_260116_18"/>
  </r>
  <r>
    <d v="2026-01-10T00:00:00"/>
    <s v="JUAN SEBASTIÁN FLOMIN RIVERA"/>
    <n v="1110477277"/>
    <x v="1"/>
    <s v="https://drive.google.com/drive/folders/1mV0B8-ZamWW1Lqd_o7sZJiRSAno8SMW2?usp=sharing"/>
    <n v="3023238936"/>
    <x v="0"/>
    <s v="Tolima"/>
    <s v="Ibagué"/>
    <s v="RCE_260116_18"/>
    <m/>
    <d v="2026-01-17T00:00:00"/>
    <s v="Sí"/>
    <s v="Equipo Técnico Territorial"/>
    <s v="No"/>
    <s v="Retirado"/>
    <s v="Perfil cumple tb Técnico administrativo regional de apoyo_x000a_Sin acceso"/>
    <s v="RCE_260116_18"/>
  </r>
  <r>
    <s v="7/01/2026 _x000a_10/01/2026"/>
    <s v="LAURA NATALY DUARTE ROMERO"/>
    <n v="1026290830"/>
    <x v="0"/>
    <s v="https://drive.google.com/drive/folders/1VKNpBIxwayiqzhgDcng7QU1imXnNbqIn?usp=drive_link"/>
    <n v="3004211673"/>
    <x v="0"/>
    <s v="Bogotá"/>
    <s v="Bogotá"/>
    <s v="RCE_260116_19"/>
    <s v="RCE_260109_12_x000a_RCE_260115_16"/>
    <d v="2026-01-27T00:00:00"/>
    <s v="Sí"/>
    <s v="Equipo Técnico Territorial"/>
    <s v="Sí"/>
    <s v="Activo"/>
    <s v="Coordinadora Local Regional"/>
    <s v="RCE_260116_19"/>
  </r>
  <r>
    <d v="2026-01-16T00:00:00"/>
    <s v="PAULA ANDREA SOLÍS URIBE"/>
    <n v="25291032"/>
    <x v="7"/>
    <s v="https://drive.google.com/drive/folders/1V836DZWAX38NEtJaZ7rSnXNtDJbobxIY"/>
    <n v="3225565393"/>
    <x v="3"/>
    <s v="Nariño"/>
    <s v="Pasto"/>
    <s v="RCE_260119_20"/>
    <s v="RCE_260109_12"/>
    <d v="2026-01-21T00:00:00"/>
    <s v="Sí"/>
    <s v="Equipo Nacional"/>
    <s v="No"/>
    <s v="En Base de Datos"/>
    <m/>
    <s v="RCE_260119_20"/>
  </r>
  <r>
    <d v="2026-01-16T00:00:00"/>
    <s v="ADRIANA XIMENA RODRÍGUEZ MORENO"/>
    <n v="53131354"/>
    <x v="2"/>
    <s v="https://drive.google.com/drive/folders/1pVIY1xG2muWKbNpEsrrHQee1KEAzdaQC?usp=sharing"/>
    <n v="3142490083"/>
    <x v="0"/>
    <s v="Bogotá"/>
    <s v="Bogotá"/>
    <s v="RCE_260119_20"/>
    <m/>
    <d v="2026-01-27T00:00:00"/>
    <s v="Sí"/>
    <s v="Equipo Técnico Territorial"/>
    <s v="Sí"/>
    <s v="Activo"/>
    <m/>
    <s v="RCE_260119_20"/>
  </r>
  <r>
    <d v="2026-01-16T00:00:00"/>
    <s v="PAULA DANIELA CALVO FLORES"/>
    <n v="1013660735"/>
    <x v="2"/>
    <s v="https://drive.google.com/drive/folders/1mHg7O-Obc_lN4Om9KrshZkT0ZDrzQJ9l?usp=sharing"/>
    <s v="313 3428464"/>
    <x v="0"/>
    <s v="Bogotá"/>
    <s v="Bogotá"/>
    <s v="RCE_260119_20"/>
    <m/>
    <d v="2026-01-27T00:00:00"/>
    <s v="Sí"/>
    <s v="Equipo Técnico Territorial"/>
    <s v="Sí"/>
    <s v="Retirado"/>
    <m/>
    <s v="RCE_260119_20"/>
  </r>
  <r>
    <d v="2026-01-16T00:00:00"/>
    <s v="VANESSA QUIÑÓNEZ DUARTE"/>
    <n v="1018478509"/>
    <x v="2"/>
    <s v="https://drive.google.com/drive/folders/11w7dC-oITo0Ji-os7IwVFLpy9Q5Cfgn-?usp=sharing"/>
    <s v="310 854 9007"/>
    <x v="0"/>
    <s v="Bogotá"/>
    <s v="Bogotá"/>
    <s v="RCE_260119_20"/>
    <m/>
    <d v="2026-01-27T00:00:00"/>
    <s v="Sí"/>
    <s v="Equipo Técnico Territorial"/>
    <s v="Sí"/>
    <s v="Activo"/>
    <m/>
    <s v="RCE_260119_20"/>
  </r>
  <r>
    <d v="2026-01-16T00:00:00"/>
    <s v="ÁLVARO MEDINA BUITRAGO"/>
    <n v="93138199"/>
    <x v="0"/>
    <s v="https://drive.google.com/drive/folders/1wkuG_IaL6dZUALzdLrvkNvCB9vJ6Y_l5?usp=sharing"/>
    <n v="3022871774"/>
    <x v="2"/>
    <s v="Bogotá"/>
    <s v="Bogotá"/>
    <s v="RCE_260119_20"/>
    <m/>
    <d v="2026-01-27T00:00:00"/>
    <s v="Sí"/>
    <s v="Equipo Técnico Territorial"/>
    <s v="Sí"/>
    <s v="Activo"/>
    <m/>
    <s v="RCE_260119_20"/>
  </r>
  <r>
    <d v="2026-01-16T00:00:00"/>
    <s v="JENNY VANESA MUÑOZ MOSCOSO"/>
    <n v="1014189907"/>
    <x v="0"/>
    <s v="https://drive.google.com/drive/folders/14w8NP9cikTxjhKWsotmoTvXwmNNb_p37?usp=sharing"/>
    <n v="3025915057"/>
    <x v="2"/>
    <s v="Bogotá"/>
    <s v="Bogotá"/>
    <s v="RCE_260119_20"/>
    <m/>
    <d v="2026-01-27T00:00:00"/>
    <s v="Sí"/>
    <s v="Equipo Técnico Territorial"/>
    <s v="Sí"/>
    <s v="Activo"/>
    <m/>
    <s v="RCE_260119_20"/>
  </r>
  <r>
    <d v="2026-01-16T00:00:00"/>
    <s v="MARILUZ AYALA HERNÁNDEZ"/>
    <n v="28070162"/>
    <x v="1"/>
    <s v="https://drive.google.com/drive/folders/1jZEMzm036QESPqhLcDLl-jCrAUwt0-Ta?usp=sharing"/>
    <s v="318 2560795"/>
    <x v="1"/>
    <s v="Santander"/>
    <s v="Barrancabermeja"/>
    <s v="RCE_260119_20"/>
    <m/>
    <d v="2026-01-21T00:00:00"/>
    <s v="Sí"/>
    <s v="Equipo Técnico Territorial"/>
    <s v="Sí"/>
    <s v="Activo"/>
    <m/>
    <s v="RCE_260119_20"/>
  </r>
  <r>
    <d v="2026-01-16T00:00:00"/>
    <s v="DIANA MARÍA VARGAS MOLANO"/>
    <n v="28979122"/>
    <x v="1"/>
    <s v="https://drive.google.com/drive/folders/13pXHR5KGUY9p6_Y0knqZOS2aTVQ8ZoYM?usp=sharing"/>
    <n v="3176431182"/>
    <x v="4"/>
    <s v="Tolima"/>
    <s v="Ibagué"/>
    <s v="RCE_260119_20"/>
    <m/>
    <d v="2026-01-21T00:00:00"/>
    <s v="Sí"/>
    <s v="Equipo Técnico Territorial"/>
    <s v="Sí"/>
    <s v="Activo"/>
    <m/>
    <s v="RCE_260119_20"/>
  </r>
  <r>
    <d v="2026-01-16T00:00:00"/>
    <s v="MARÍA CONSUELO MADARIAGA PRADO"/>
    <n v="37182404"/>
    <x v="1"/>
    <s v="https://drive.google.com/drive/folders/1NE6ISPVeNv7BtNXHlGtPALC-ftgoOwcf?usp=sharing"/>
    <n v="0"/>
    <x v="1"/>
    <s v="Norte de Santander"/>
    <s v="Ocaña"/>
    <s v="RCE_260119_20"/>
    <m/>
    <d v="2026-01-27T00:00:00"/>
    <s v="Sí"/>
    <s v="Equipo Técnico Territorial"/>
    <s v="Sí"/>
    <s v="Activo"/>
    <m/>
    <s v="RCE_260119_20"/>
  </r>
  <r>
    <d v="2026-01-16T00:00:00"/>
    <s v="HUGO NOGUERA ARIAS"/>
    <n v="87303394"/>
    <x v="1"/>
    <s v="https://drive.google.com/drive/folders/1Vt9aty3BhJrWdcgwi59D-62Zh7gCRcKS?usp=sharing"/>
    <n v="3146417427"/>
    <x v="3"/>
    <s v="Nariño"/>
    <s v="Tambo"/>
    <s v="RCE_260119_20"/>
    <m/>
    <d v="2026-01-27T00:00:00"/>
    <s v="Sí"/>
    <s v="Equipo Técnico Territorial"/>
    <s v="Sí"/>
    <s v="Activo"/>
    <m/>
    <s v="RCE_260119_20"/>
  </r>
  <r>
    <d v="2026-01-16T00:00:00"/>
    <s v="LAURA VALENTINA VILLABÓN SIERRA"/>
    <n v="1193428099"/>
    <x v="5"/>
    <s v="https://drive.google.com/drive/folders/1ibgdYOVlDtxR8f8HT_hN1PoFZ308uBPr?usp=sharing"/>
    <n v="3015014481"/>
    <x v="0"/>
    <s v="Bogotá"/>
    <s v="Bogotá"/>
    <s v="RCE_260119_20"/>
    <m/>
    <d v="2026-01-27T00:00:00"/>
    <s v="Sí"/>
    <s v="Equipo Nacional"/>
    <s v="Sí"/>
    <s v="Activo"/>
    <m/>
    <s v="RCE_260119_20"/>
  </r>
  <r>
    <d v="2026-01-16T00:00:00"/>
    <s v="DENNISSE PAOLA TULCÁN PUENTES"/>
    <n v="3606544"/>
    <x v="2"/>
    <s v="https://drive.google.com/drive/folders/1ZqsfOdsr4T_wj8xuPymkh39bygCXrl5U?usp=sharing"/>
    <s v="311 616 2115"/>
    <x v="3"/>
    <s v="Cauca"/>
    <s v="Popayán"/>
    <s v="RCE_260120_22"/>
    <m/>
    <d v="2026-01-21T00:00:00"/>
    <s v="Sí"/>
    <s v="Equipo Técnico Territorial"/>
    <s v="No"/>
    <s v="Retirado"/>
    <m/>
    <s v="RCE_260120_22"/>
  </r>
  <r>
    <d v="2026-01-16T00:00:00"/>
    <s v="MAGDA ZULAY AZABACHE NIETO"/>
    <n v="30937317"/>
    <x v="2"/>
    <s v="https://drive.google.com/drive/folders/19s8g9p2hYcNWlvYE7VuOLU7TE6QcgOJR?usp=sharing"/>
    <s v="310 866 96 62"/>
    <x v="0"/>
    <s v="Vichada"/>
    <s v="Puerto Carreño"/>
    <s v="RCE_260120_22"/>
    <m/>
    <d v="2026-01-21T00:00:00"/>
    <s v="Sí"/>
    <s v="Equipo Técnico Territorial"/>
    <s v="Sí"/>
    <s v="Activo"/>
    <m/>
    <s v="RCE_260120_22"/>
  </r>
  <r>
    <d v="2026-01-16T00:00:00"/>
    <s v="JULIÁN ANDRÉS CERÓN BOTINA"/>
    <n v="87060780"/>
    <x v="2"/>
    <s v="https://drive.google.com/drive/folders/1lwMvlsVKaPMz3bT6-sdLS1L51BUDggys?usp=sharing"/>
    <s v="311 609 41 44"/>
    <x v="3"/>
    <s v="Nariño"/>
    <s v="Pasto"/>
    <s v="RCE_260120_22"/>
    <m/>
    <d v="2026-01-27T00:00:00"/>
    <s v="Sí"/>
    <s v="Equipo Técnico Territorial"/>
    <s v="Sí"/>
    <s v="Activo"/>
    <m/>
    <s v="RCE_260120_22"/>
  </r>
  <r>
    <d v="2026-01-16T00:00:00"/>
    <s v="DEISY VIVIANA ARÉVALO SOTELO"/>
    <n v="1014296382"/>
    <x v="2"/>
    <s v="https://drive.google.com/drive/folders/1ff4riutPxMhOQ-pzcfhXvX0ks5PNe4Wd?usp=sharing"/>
    <s v="319 510 7128"/>
    <x v="4"/>
    <s v="Bogotá"/>
    <s v="Bogotá"/>
    <s v="RCE_260120_22"/>
    <m/>
    <d v="2026-01-27T00:00:00"/>
    <s v="Sí"/>
    <s v="Equipo Técnico Territorial"/>
    <s v="No"/>
    <s v="Retirado"/>
    <m/>
    <s v="RCE_260120_22"/>
  </r>
  <r>
    <d v="2026-01-16T00:00:00"/>
    <s v="CINDY GISELLA SARAZO MARTÍNEZ"/>
    <n v="1022405754"/>
    <x v="2"/>
    <s v="https://drive.google.com/drive/folders/1SswyEfSQzU17vP4DUYJUCSzro_c853Wd?usp=sharing"/>
    <n v="3175710589"/>
    <x v="4"/>
    <s v="Cundinamarca"/>
    <s v="Soacha"/>
    <s v="RCE_260120_22"/>
    <m/>
    <d v="2026-01-27T00:00:00"/>
    <s v="Sí"/>
    <s v="Equipo Técnico Territorial"/>
    <s v="No"/>
    <s v="Retirado"/>
    <m/>
    <s v="RCE_260120_22"/>
  </r>
  <r>
    <d v="2026-01-16T00:00:00"/>
    <s v="CARLOS ANDRÉS OLAYA URUEÑA"/>
    <n v="1026560711"/>
    <x v="2"/>
    <s v="https://drive.google.com/drive/folders/12R-NW5E-tdnmvX8kWTeczS919zL_VWma?usp=sharing"/>
    <s v="321 361 6664"/>
    <x v="0"/>
    <s v="Meta"/>
    <s v="Villavicencio"/>
    <s v="RCE_260120_22"/>
    <m/>
    <d v="2026-01-27T00:00:00"/>
    <s v="Sí"/>
    <s v="Equipo Técnico Territorial"/>
    <s v="Sí"/>
    <s v="Activo"/>
    <m/>
    <s v="RCE_260120_22"/>
  </r>
  <r>
    <d v="2026-01-16T00:00:00"/>
    <s v="DANIEL FERNANDO ARCILA ROJAS"/>
    <n v="1053857492"/>
    <x v="2"/>
    <s v="https://drive.google.com/drive/folders/15mMB7dHZpnySZWPqcmtO5_tDJ1N6cDUQ?usp=sharing"/>
    <s v="300 512 9020"/>
    <x v="4"/>
    <s v="Caldas"/>
    <s v="Manizales"/>
    <s v="RCE_260120_22"/>
    <m/>
    <d v="2026-01-27T00:00:00"/>
    <s v="Sí"/>
    <s v="Equipo Técnico Territorial"/>
    <s v="Sí"/>
    <s v="Activo"/>
    <m/>
    <s v="RCE_260120_22"/>
  </r>
  <r>
    <d v="2026-01-16T00:00:00"/>
    <s v="DIEGO FELIPE CAJIAO ROSERO"/>
    <n v="1061719113"/>
    <x v="2"/>
    <s v="https://drive.google.com/drive/folders/1axDWBwJDe3lb8O698LuW54Mk3epQtSrA?usp=sharing"/>
    <n v="3167593009"/>
    <x v="3"/>
    <s v="Cauca"/>
    <s v="Popayán"/>
    <s v="RCE_260120_22"/>
    <m/>
    <d v="2026-01-27T00:00:00"/>
    <s v="Sí"/>
    <s v="Equipo Técnico Territorial"/>
    <s v="Sí"/>
    <s v="Activo"/>
    <m/>
    <s v="RCE_260120_22"/>
  </r>
  <r>
    <d v="2026-01-16T00:00:00"/>
    <s v="JUDITH DEL CARMEN ZUBIRIA PÉREZ"/>
    <n v="40941621"/>
    <x v="1"/>
    <s v="https://drive.google.com/drive/folders/1rVCDBjozehf_3yS_wjmGS9iuzaxtbDc8?usp=sharing"/>
    <s v="301 441 9205"/>
    <x v="2"/>
    <s v="Magdalena"/>
    <s v="Santa Marta"/>
    <s v="RCE_260120_22"/>
    <m/>
    <d v="2026-01-27T00:00:00"/>
    <s v="Sí"/>
    <s v="Equipo Técnico Territorial"/>
    <s v="Sí"/>
    <s v="Retirado"/>
    <s v="Retirado 04/03/2026"/>
    <s v="RCE_260120_22"/>
  </r>
  <r>
    <d v="2026-01-16T00:00:00"/>
    <s v="CYNTHIA ANGULO ARROYO"/>
    <n v="63554862"/>
    <x v="1"/>
    <s v="https://drive.google.com/drive/folders/16Oz7yD7yE8cVYx15Ukh95b7Uhy383Z21?usp=sharing"/>
    <n v="3204269266"/>
    <x v="1"/>
    <s v="Santander"/>
    <s v="Sabana de torres"/>
    <s v="RCE_260120_22"/>
    <m/>
    <d v="2026-01-27T00:00:00"/>
    <s v="Sí"/>
    <s v="Equipo Técnico Territorial"/>
    <s v="Sí"/>
    <s v="Activo"/>
    <m/>
    <s v="RCE_260120_22"/>
  </r>
  <r>
    <d v="2026-01-16T00:00:00"/>
    <s v="ALDO ALEXANDER FERNÁNDEZ VARELA"/>
    <n v="85440768"/>
    <x v="1"/>
    <s v="https://drive.google.com/drive/folders/1cYibtFy0K-hSFJ8oYebthIzzPdy1LqwB?usp=sharing"/>
    <n v="3114256384"/>
    <x v="2"/>
    <s v="Cesar"/>
    <s v="Valledupar"/>
    <s v="RCE_260120_22"/>
    <m/>
    <d v="2026-01-27T00:00:00"/>
    <s v="Sí"/>
    <s v="Equipo Técnico Territorial"/>
    <s v="Sí"/>
    <s v="Activo"/>
    <m/>
    <s v="RCE_260120_22"/>
  </r>
  <r>
    <d v="2026-01-16T00:00:00"/>
    <s v="ANDRÉS FABIÁN PINTA RODRÍGUEZ"/>
    <n v="98389640"/>
    <x v="1"/>
    <s v="https://drive.google.com/drive/folders/1OKzDzhvd9yMUIBTRarC4BBNY5wXckCtY?usp=sharing"/>
    <s v="311 605 98 05"/>
    <x v="3"/>
    <s v="Nariño"/>
    <s v="Chachagüí"/>
    <s v="RCE_260120_22"/>
    <m/>
    <d v="2026-01-27T00:00:00"/>
    <s v="Sí"/>
    <s v="Equipo Técnico Territorial"/>
    <s v="Sí"/>
    <s v="Activo"/>
    <m/>
    <s v="RCE_260120_22"/>
  </r>
  <r>
    <d v="2026-01-16T00:00:00"/>
    <s v="JAIME ANDRÉS DUARTE GARCÍA"/>
    <n v="1056593123"/>
    <x v="1"/>
    <s v="https://drive.google.com/drive/folders/1TSAh1UBLPIuMFmaeAj2ZpQxdnqOT6qBU?usp=sharing"/>
    <n v="3212782814"/>
    <x v="0"/>
    <s v="Boyacá"/>
    <s v="Tipacoque"/>
    <s v="RCE_260120_22"/>
    <m/>
    <d v="2026-01-27T00:00:00"/>
    <s v="Sí"/>
    <s v="Equipo Técnico Territorial"/>
    <s v="Sí"/>
    <s v="Activo"/>
    <m/>
    <s v="RCE_260120_22"/>
  </r>
  <r>
    <d v="2026-01-16T00:00:00"/>
    <s v="LEIDY YOHANA MORA GUERRERO"/>
    <n v="1064836303"/>
    <x v="1"/>
    <s v="https://drive.google.com/drive/folders/1F9kDVFDVdJZT-MjY_IjN6vsAINvozaio?usp=sharing"/>
    <n v="3154192262"/>
    <x v="1"/>
    <s v="Norte de Santander"/>
    <s v="Ocaña"/>
    <s v="RCE_260120_22"/>
    <m/>
    <d v="2026-01-27T00:00:00"/>
    <s v="Sí"/>
    <s v="Equipo Técnico Territorial"/>
    <s v="Sí"/>
    <s v="Retirado"/>
    <s v="Renuncio al proceso"/>
    <s v="RCE_260120_22"/>
  </r>
  <r>
    <d v="2026-01-16T00:00:00"/>
    <s v="ANGIE CATHERINE COLLAZOS VALENZUELA"/>
    <n v="1075317780"/>
    <x v="1"/>
    <s v="https://drive.google.com/drive/folders/1JhFE5C2rVGWozGt-91VselC87GIHEz-f?usp=sharing"/>
    <n v="3005246455"/>
    <x v="0"/>
    <s v="Caquetá"/>
    <s v="Florencia"/>
    <s v="RCE_260120_22"/>
    <m/>
    <d v="2026-01-27T00:00:00"/>
    <s v="Sí"/>
    <s v="Equipo Técnico Territorial"/>
    <s v="Sí"/>
    <s v="Activo"/>
    <m/>
    <s v="RCE_260120_22"/>
  </r>
  <r>
    <d v="2026-01-16T00:00:00"/>
    <s v="ANGIE YISEL ZULUAGA BERNA"/>
    <n v="1120575207"/>
    <x v="1"/>
    <s v="https://drive.google.com/drive/folders/1_BF92q01BfETRlYPlIjFrbICXUkDN_nr?usp=sharing"/>
    <s v="313 334 32 33"/>
    <x v="0"/>
    <s v="Guaviare"/>
    <s v="San jose del guiaviare"/>
    <s v="RCE_260120_22"/>
    <m/>
    <d v="2026-01-27T00:00:00"/>
    <s v="Sí"/>
    <s v="Equipo Técnico Territorial"/>
    <s v="Sí"/>
    <s v="Retirado"/>
    <s v="Retirado 02/03/2026"/>
    <s v="RCE_260120_22"/>
  </r>
  <r>
    <d v="2026-01-16T00:00:00"/>
    <s v="DAILER MONTOYA DÍAZ"/>
    <n v="1144201353"/>
    <x v="1"/>
    <s v="https://drive.google.com/drive/folders/1SQ2Pz2r0CHN-kmCx24z3RlcpwOvjpl0d?usp=sharing"/>
    <s v="311 232 2517"/>
    <x v="0"/>
    <s v="Caquetá"/>
    <s v="Florencia"/>
    <s v="RCE_260120_22"/>
    <m/>
    <d v="2026-01-27T00:00:00"/>
    <s v="Sí"/>
    <s v="Equipo Técnico Territorial"/>
    <s v="Sí"/>
    <s v="Activo"/>
    <m/>
    <s v="RCE_260120_22"/>
  </r>
  <r>
    <d v="2026-01-10T00:00:00"/>
    <s v="LUIS CARLOS SALAZAR PRIETO"/>
    <n v="1069584449"/>
    <x v="1"/>
    <s v="https://drive.google.com/drive/folders/1CchvEntYpHCRU0md6u_3eJYIfbsAuuiw?usp=sharing"/>
    <n v="3143008199"/>
    <x v="1"/>
    <s v="Casanare"/>
    <s v="Yopal"/>
    <s v="RCE_260121_24"/>
    <s v="RCE_260114_15"/>
    <d v="2026-01-17T00:00:00"/>
    <s v="Sí"/>
    <s v="Equipo Técnico Territorial"/>
    <s v="No"/>
    <s v="Retirado"/>
    <m/>
    <s v="RCE_260121_24"/>
  </r>
  <r>
    <d v="2026-01-10T00:00:00"/>
    <s v="ANDRÉS RAMIRO COTES ROBAYO"/>
    <n v="80761603"/>
    <x v="2"/>
    <s v="https://drive.google.com/drive/folders/13XNuAW1eKb85Ad7nBGXDwbiuR5cnwrGA?usp=sharing"/>
    <n v="3045268708"/>
    <x v="0"/>
    <s v="Bogotá"/>
    <s v="Bogotá"/>
    <s v="RCE_260121_24"/>
    <s v="RCE_260115_16"/>
    <d v="2026-01-17T00:00:00"/>
    <s v="Sí"/>
    <s v="Equipo Técnico Territorial"/>
    <s v="Sí"/>
    <s v="Activo"/>
    <m/>
    <s v="RCE_260121_24"/>
  </r>
  <r>
    <d v="2026-01-10T00:00:00"/>
    <s v="DIEGO FERNANDO VALENCIA TAPIA"/>
    <n v="1015393860"/>
    <x v="2"/>
    <s v="https://drive.google.com/drive/folders/1CggotkGNp7t-ouHphvhOCRug_t8xz3iz?usp=sharing"/>
    <n v="3176984631"/>
    <x v="0"/>
    <s v="Bogotá"/>
    <s v="Bogotá"/>
    <s v="RCE_260121_24"/>
    <s v="RCE_260115_16"/>
    <d v="2026-01-17T00:00:00"/>
    <s v="Sí"/>
    <s v="Equipo Técnico Territorial"/>
    <s v="No"/>
    <s v="Retirado"/>
    <m/>
    <s v="RCE_260121_24"/>
  </r>
  <r>
    <d v="2026-01-19T00:00:00"/>
    <s v="IVONNE KATHERINE LUGO GARZÓN "/>
    <n v="1022374269"/>
    <x v="0"/>
    <s v="https://drive.google.com/drive/folders/1SNtEM4GCzL_h3r_mbXVDjsCDIEX7l7A2?usp=sharing"/>
    <n v="3123314563"/>
    <x v="0"/>
    <s v="Bogotá"/>
    <s v="Bogotá"/>
    <s v="RCE_260121_24"/>
    <m/>
    <d v="2026-01-27T00:00:00"/>
    <s v="Sí"/>
    <s v="Equipo Técnico Territorial"/>
    <s v="Sí"/>
    <s v="Activo"/>
    <m/>
    <s v="RCE_260121_24"/>
  </r>
  <r>
    <d v="2026-01-19T00:00:00"/>
    <s v="CARLOS ÁNGEL VELÁSQUEZ INCA "/>
    <n v="5205527"/>
    <x v="1"/>
    <s v="https://drive.google.com/drive/folders/1734J8L05IXDf81nE90hfvDIKl4m5z7nD?usp=sharing"/>
    <s v="318 528 6727"/>
    <x v="3"/>
    <s v="Nariño"/>
    <s v="Chachagüí"/>
    <s v="RCE_260121_24"/>
    <m/>
    <d v="2026-01-27T00:00:00"/>
    <s v="Sí"/>
    <s v="Equipo Técnico Territorial"/>
    <s v="Sí"/>
    <s v="Activo"/>
    <m/>
    <s v="RCE_260121_24"/>
  </r>
  <r>
    <d v="2026-01-19T00:00:00"/>
    <s v="CARLOS MAURICIO MOSQUERA CHARRY "/>
    <n v="12134131"/>
    <x v="1"/>
    <s v="https://drive.google.com/drive/folders/1WZw28ECQ7kYfahgkXPPRLa3HfNa_s4GS?usp=sharing"/>
    <s v="315 353 4838"/>
    <x v="0"/>
    <s v="Huila"/>
    <s v="Neiva"/>
    <s v="RCE_260121_24"/>
    <m/>
    <d v="2026-01-27T00:00:00"/>
    <s v="Sí"/>
    <s v="Equipo Técnico Territorial"/>
    <s v="Sí"/>
    <s v="Activo"/>
    <m/>
    <s v="RCE_260121_24"/>
  </r>
  <r>
    <d v="2026-01-19T00:00:00"/>
    <s v="JOSÉ HUGO MUÑOZ BURBANO "/>
    <n v="12975326"/>
    <x v="1"/>
    <s v="https://drive.google.com/drive/folders/1HenCGGjdcaIrqfHWX_Khud1sLlYPuT8w?usp=sharing"/>
    <s v="310 540 4103"/>
    <x v="3"/>
    <s v="Nariño"/>
    <s v="Pasto"/>
    <s v="RCE_260121_24"/>
    <m/>
    <d v="2026-01-27T00:00:00"/>
    <s v="Sí"/>
    <s v="Equipo Técnico Territorial"/>
    <s v="Sí"/>
    <s v="Activo"/>
    <m/>
    <s v="RCE_260121_24"/>
  </r>
  <r>
    <d v="2026-01-19T00:00:00"/>
    <s v="DIEGO FERNANDO FERREIRA CADAVID"/>
    <n v="14296011"/>
    <x v="1"/>
    <s v="https://drive.google.com/drive/folders/1Ac_r1mK2nR98Zp9htuRmXGasD5_0w2Xl?usp=sharing"/>
    <s v="310-422-0340"/>
    <x v="0"/>
    <s v="Tolima"/>
    <s v="Ibagué"/>
    <s v="RCE_260121_24"/>
    <m/>
    <d v="2026-01-27T00:00:00"/>
    <s v="Sí"/>
    <s v="Equipo Técnico Territorial"/>
    <s v="Sí"/>
    <s v="Retirado"/>
    <m/>
    <s v="RCE_260121_24"/>
  </r>
  <r>
    <d v="2026-01-19T00:00:00"/>
    <s v="LEYDER JULIÁN MORA ROJAS "/>
    <n v="18128859"/>
    <x v="1"/>
    <s v="https://drive.google.com/drive/folders/1w0aw2_ACfCsQJcXpfXvZe6x5-CfsHzhk?usp=sharing"/>
    <s v="315 728 5678"/>
    <x v="3"/>
    <s v="Putumayo"/>
    <s v="Mocoa"/>
    <s v="RCE_260121_24"/>
    <m/>
    <d v="2026-01-27T00:00:00"/>
    <s v="Sí"/>
    <s v="Equipo Técnico Territorial"/>
    <s v="Sí"/>
    <s v="Activo"/>
    <m/>
    <s v="RCE_260121_24"/>
  </r>
  <r>
    <d v="2026-01-19T00:00:00"/>
    <s v="JUAN CARLOS APONTE SILVA"/>
    <n v="19455287"/>
    <x v="1"/>
    <s v="https://drive.google.com/drive/folders/19ava860QkT6u4zQpws53rP7Kq7hBwSfK?usp=sharing"/>
    <s v="321-2326570"/>
    <x v="4"/>
    <s v="Cundinamarca"/>
    <s v="Chia"/>
    <s v="RCE_260121_24"/>
    <m/>
    <d v="2026-01-27T00:00:00"/>
    <s v="Sí"/>
    <s v="Equipo Técnico Territorial"/>
    <s v="Sí"/>
    <s v="Retirado"/>
    <s v="Retirado 23/02/2026"/>
    <s v="RCE_260121_24"/>
  </r>
  <r>
    <d v="2026-01-19T00:00:00"/>
    <s v="NIDIA SÁNCHEZ TRIGOS "/>
    <n v="49670265"/>
    <x v="1"/>
    <s v="https://drive.google.com/drive/folders/1TC5xo3s09i2DRJ_6RRkCEMzIyexTyjMG?usp=sharing"/>
    <s v="315-5620935"/>
    <x v="2"/>
    <s v="Cesar"/>
    <s v="Aguachica"/>
    <s v="RCE_260121_24"/>
    <m/>
    <d v="2026-01-27T00:00:00"/>
    <s v="Sí"/>
    <s v="Equipo Técnico Territorial"/>
    <s v="Sí"/>
    <s v="Retirado"/>
    <s v="Retirado 09/02/2026"/>
    <s v="RCE_260121_24"/>
  </r>
  <r>
    <d v="2026-01-19T00:00:00"/>
    <s v="OSCAR DÍAZ ACOSTA "/>
    <n v="97473015"/>
    <x v="1"/>
    <s v="https://drive.google.com/drive/folders/1_ioRfZpMSF-flH0xj5m5ENPAxoJDsZkV?usp=sharing"/>
    <s v="316 635 5904"/>
    <x v="3"/>
    <s v="Nariño"/>
    <s v="Pasto"/>
    <s v="RCE_260121_24"/>
    <m/>
    <d v="2026-01-27T00:00:00"/>
    <s v="Sí"/>
    <s v="Equipo Técnico Territorial"/>
    <s v="Sí"/>
    <s v="Activo"/>
    <m/>
    <s v="RCE_260121_24"/>
  </r>
  <r>
    <d v="2026-01-19T00:00:00"/>
    <s v="EDER MAURICIO RÁQUIRA GARCÍA "/>
    <n v="1032394684"/>
    <x v="1"/>
    <s v="https://drive.google.com/drive/folders/1_lwOJEslx2n00-29vOQ_nRZxSLe8qRAc?usp=sharing"/>
    <n v="3118243186"/>
    <x v="0"/>
    <s v="Bogotá"/>
    <s v="Bogotá"/>
    <s v="RCE_260121_24"/>
    <m/>
    <d v="2026-01-27T00:00:00"/>
    <s v="Sí"/>
    <s v="Equipo Técnico Territorial"/>
    <s v="Sí"/>
    <s v="Activo"/>
    <m/>
    <s v="RCE_260121_24"/>
  </r>
  <r>
    <d v="2026-01-19T00:00:00"/>
    <s v="JAIDER LUIS BARRERA PEREIRA "/>
    <n v="1063149403"/>
    <x v="1"/>
    <s v="https://drive.google.com/drive/folders/1tl47P0vg_E-O0k9zAQHYZqvsahfp2K0x?usp=sharing"/>
    <n v="3102603465"/>
    <x v="2"/>
    <s v="Córdoba"/>
    <s v="Lorica"/>
    <s v="RCE_260121_24"/>
    <m/>
    <d v="2026-01-27T00:00:00"/>
    <s v="Sí"/>
    <s v="Equipo Técnico Territorial"/>
    <s v="Sí"/>
    <s v="Activo"/>
    <m/>
    <s v="RCE_260121_24"/>
  </r>
  <r>
    <d v="2026-01-19T00:00:00"/>
    <s v="ASTRYD CAROLINA ORDOÑEZ ERAZO "/>
    <n v="34318220"/>
    <x v="5"/>
    <s v="https://drive.google.com/drive/folders/1hZnYldyjISOKbI5EFlVlzR_y7Cf5dZPd?usp=sharing"/>
    <n v="3193892698"/>
    <x v="3"/>
    <s v="Cauca"/>
    <s v="Popayán"/>
    <s v="RCE_260121_24"/>
    <m/>
    <d v="2026-01-27T00:00:00"/>
    <s v="Sí"/>
    <s v="Equipo Nacional"/>
    <s v="Sí"/>
    <s v="Activo"/>
    <m/>
    <s v="RCE_260121_24"/>
  </r>
  <r>
    <d v="2026-01-19T00:00:00"/>
    <s v="GILMA ZOBEIDA DUMAR DIAZ"/>
    <n v="50904552"/>
    <x v="2"/>
    <s v="https://drive.google.com/drive/folders/17Y7nrc_IBiktiUi2xOZA6H4nWyR4FdkF?usp=sharing"/>
    <n v="3023393772"/>
    <x v="2"/>
    <s v="Córdoba"/>
    <s v="Montelibano"/>
    <s v="RCE_260121_24"/>
    <m/>
    <d v="2026-01-27T00:00:00"/>
    <s v="Sí"/>
    <s v="Equipo Técnico Territorial"/>
    <s v="No"/>
    <s v="Retirado"/>
    <m/>
    <s v="RCE_260121_24_x000a_RCE_260127_33"/>
  </r>
  <r>
    <d v="2026-01-19T00:00:00"/>
    <s v="NATALY RIVERA ROA"/>
    <n v="52817046"/>
    <x v="2"/>
    <s v="https://drive.google.com/drive/folders/1j2kFMoqOaj2ecFug-p00OysJU6E6vNQh?usp=sharing"/>
    <n v="3177858932"/>
    <x v="4"/>
    <s v="Cundinamarca"/>
    <s v="Soacha"/>
    <s v="RCE_260121_24"/>
    <m/>
    <d v="2026-01-27T00:00:00"/>
    <s v="Sí"/>
    <s v="Equipo Técnico Territorial"/>
    <s v="No"/>
    <s v="Retirado"/>
    <m/>
    <s v="RCE_260121_24"/>
  </r>
  <r>
    <d v="2026-01-19T00:00:00"/>
    <s v="DIANA MARCELA CÉSPEDES MOTTA"/>
    <n v="65784493"/>
    <x v="2"/>
    <s v="https://drive.google.com/drive/folders/1rxvORWQizwGdFTMtLMU06LOPUDVI6y1I?usp=sharing"/>
    <n v="3168889951"/>
    <x v="4"/>
    <s v="Tolima"/>
    <s v="Ibagué"/>
    <s v="RCE_260121_24"/>
    <m/>
    <d v="2026-01-27T00:00:00"/>
    <s v="Sí"/>
    <s v="Equipo Técnico Territorial"/>
    <s v="Sí"/>
    <s v="Activo"/>
    <m/>
    <s v="RCE_260121_24_x000a_RCE_260126_31"/>
  </r>
  <r>
    <d v="2026-01-19T00:00:00"/>
    <s v="CATHERINE SOLER ROMERO"/>
    <n v="1015414016"/>
    <x v="2"/>
    <s v="https://drive.google.com/drive/folders/1-a_5Kb9ed3TxsmfgYW3HGsxSBkAUDzJr?usp=sharing"/>
    <n v="3157261783"/>
    <x v="0"/>
    <s v="Bogotá"/>
    <s v="Bogotá"/>
    <s v="RCE_260121_24"/>
    <m/>
    <d v="2026-01-27T00:00:00"/>
    <s v="Sí"/>
    <s v="Equipo Técnico Territorial"/>
    <s v="No"/>
    <s v="Retirado"/>
    <m/>
    <s v="RCE_260121_24"/>
  </r>
  <r>
    <d v="2026-01-19T00:00:00"/>
    <s v="JENNIFER CAROLINA VARGAS BOLAÑOS "/>
    <n v="1061790676"/>
    <x v="2"/>
    <s v="https://drive.google.com/drive/folders/1Ar6pY8SwUfamipg1xBZqQG4dQ7sxcDJj?usp=sharing"/>
    <n v="3136508565"/>
    <x v="3"/>
    <s v="Cauca"/>
    <s v="Popayán"/>
    <s v="RCE_260121_24"/>
    <m/>
    <d v="2026-01-27T00:00:00"/>
    <s v="Sí"/>
    <s v="Equipo Técnico Territorial"/>
    <s v="Sí"/>
    <s v="Activo"/>
    <m/>
    <s v="RCE_260121_24"/>
  </r>
  <r>
    <d v="2026-01-19T00:00:00"/>
    <s v="JEFFERSON EDUARDO GALLARDO PARADA"/>
    <n v="1093756198"/>
    <x v="2"/>
    <s v="https://drive.google.com/drive/folders/1VTDyKIQXJUC39dIDwMr0PaFVPnwQZWsK?usp=sharing"/>
    <n v="3219180883"/>
    <x v="1"/>
    <s v="Norte de Santander"/>
    <s v="Cúcuta"/>
    <s v="RCE_260121_24"/>
    <m/>
    <d v="2026-01-27T00:00:00"/>
    <s v="Sí"/>
    <s v="Equipo Técnico Territorial"/>
    <s v="Sí"/>
    <s v="Activo"/>
    <m/>
    <s v="RCE_260121_24"/>
  </r>
  <r>
    <d v="2026-01-19T00:00:00"/>
    <s v="JORS PALACIO RÍOS "/>
    <n v="1143425547"/>
    <x v="2"/>
    <s v="https://drive.google.com/drive/folders/1WvX3tMByIFm3tKITnynUYjEMo8JEVV-u?usp=sharing"/>
    <n v="3104179886"/>
    <x v="2"/>
    <s v="Atlántico"/>
    <s v="Barranquilla"/>
    <s v="RCE_260121_24"/>
    <m/>
    <d v="2026-01-27T00:00:00"/>
    <s v="Sí"/>
    <s v="Equipo Técnico Territorial"/>
    <s v="Sí"/>
    <s v="Activo"/>
    <m/>
    <s v="RCE_260121_24"/>
  </r>
  <r>
    <d v="2026-01-19T00:00:00"/>
    <s v="LUIS CARLOS BONILLA CASSO "/>
    <n v="76310960"/>
    <x v="1"/>
    <s v="https://drive.google.com/drive/folders/14Sj65Scz5ooeaB0YE5CczWBAGXnsMhBj?usp=sharing"/>
    <s v="350 803 27 64"/>
    <x v="3"/>
    <s v="Cauca"/>
    <s v="Santander de Quilichao"/>
    <s v="RCE_260121_24_x000a_RCE_260126_31"/>
    <m/>
    <d v="2026-02-06T00:00:00"/>
    <s v="Sí"/>
    <s v="Equipo Técnico Territorial"/>
    <s v="Sí"/>
    <s v="Activo"/>
    <s v="Retirado 01/03/2026"/>
    <s v="RCE_260121_24_x000a_RCE_260126_31"/>
  </r>
  <r>
    <d v="2026-01-19T00:00:00"/>
    <s v="JUAN JOSE LONDOÑO LONDOÑO"/>
    <n v="6386946"/>
    <x v="1"/>
    <s v="https://drive.google.com/drive/folders/1_LnDa0c2aUzFHAA0wbMUxqUmZ5J_p4ZV?usp=sharing"/>
    <s v="317 402 1724"/>
    <x v="3"/>
    <s v="Valle del cauca"/>
    <s v="Palmira"/>
    <s v="RCE_260122_27"/>
    <m/>
    <d v="2026-01-27T00:00:00"/>
    <s v="Sí"/>
    <s v="Equipo Técnico Territorial"/>
    <s v="Sí"/>
    <s v="Activo"/>
    <m/>
    <s v="RCE_260122_27"/>
  </r>
  <r>
    <d v="2026-01-19T00:00:00"/>
    <s v="MAURO FABIAN SALAZAR BUITRAGO"/>
    <n v="7253321"/>
    <x v="1"/>
    <s v="https://drive.google.com/drive/folders/1WQ_E4AOWWWipWPGKAEAm0B_MkmQNAsr6?usp=sharing"/>
    <s v="320 342 0963"/>
    <x v="1"/>
    <s v="Boyacá"/>
    <s v="Puerto boyacá"/>
    <s v="RCE_260122_27"/>
    <m/>
    <d v="2026-01-27T00:00:00"/>
    <s v="Sí"/>
    <s v="Equipo Técnico Territorial"/>
    <s v="Sí"/>
    <s v="Activo"/>
    <m/>
    <s v="RCE_260122_27"/>
  </r>
  <r>
    <d v="2026-01-19T00:00:00"/>
    <s v="BLADIMIR NARVAEZ CABRERA"/>
    <n v="12228912"/>
    <x v="1"/>
    <s v="https://drive.google.com/drive/folders/1snvG9Kl_6oTfQDBm0bqGPToJ2Y6__ueJ?usp=sharing"/>
    <s v="3214250684 - 3214874834"/>
    <x v="0"/>
    <s v="Huila"/>
    <s v="Pitalito"/>
    <s v="RCE_260122_27"/>
    <m/>
    <d v="2026-01-27T00:00:00"/>
    <s v="Sí"/>
    <s v="Equipo Técnico Territorial"/>
    <s v="Sí"/>
    <s v="Activo"/>
    <m/>
    <s v="RCE_260122_27"/>
  </r>
  <r>
    <d v="2026-01-19T00:00:00"/>
    <s v="YILMER MANUEL LONDOÑO HERNANDEZ"/>
    <n v="1015433674"/>
    <x v="1"/>
    <s v="https://drive.google.com/drive/folders/1SDmt5WUsmZJMzhp9ipQm2t6hwRRO2Avf?usp=sharing"/>
    <s v="316 211 45 18"/>
    <x v="1"/>
    <s v="Casanare"/>
    <s v="Yopal"/>
    <s v="RCE_260122_27"/>
    <m/>
    <d v="2026-01-27T00:00:00"/>
    <s v="Sí"/>
    <s v="Equipo Técnico Territorial"/>
    <s v="Sí"/>
    <s v="Activo"/>
    <m/>
    <s v="RCE_260122_27"/>
  </r>
  <r>
    <d v="2026-01-19T00:00:00"/>
    <s v="YINSON JAVIER DÍAZ GÓMEZ"/>
    <n v="1032378652"/>
    <x v="1"/>
    <s v="https://drive.google.com/drive/folders/1zdElZUYxWN0mL7gW0T7f8FGKOycgu-qC?usp=sharing"/>
    <s v="322 305 4018"/>
    <x v="4"/>
    <s v="Tolima"/>
    <s v="Ibagué"/>
    <s v="RCE_260122_27"/>
    <m/>
    <d v="2026-01-27T00:00:00"/>
    <s v="Sí"/>
    <s v="Equipo Técnico Territorial"/>
    <s v="No"/>
    <s v="Retirado"/>
    <m/>
    <s v="RCE_260122_27"/>
  </r>
  <r>
    <d v="2026-01-19T00:00:00"/>
    <s v="MELISSA INES BLANCO TORRES"/>
    <n v="1143374703"/>
    <x v="1"/>
    <s v="https://drive.google.com/drive/folders/1Zwss3-TpL8H2N66StWIt3-5MEq_8Y456?usp=sharing"/>
    <s v="305- 459-2092"/>
    <x v="2"/>
    <s v="Bolívar"/>
    <s v="Cartagena"/>
    <s v="RCE_260122_27"/>
    <m/>
    <d v="2026-01-27T00:00:00"/>
    <s v="Sí"/>
    <s v="Equipo Técnico Territorial"/>
    <s v="Sí"/>
    <s v="Activo"/>
    <s v="Ingresa 03-Mar"/>
    <s v="RCE_260122_27"/>
  </r>
  <r>
    <d v="2026-01-19T00:00:00"/>
    <s v="CAROLINA ANDREA REY RIVERA"/>
    <n v="52829301"/>
    <x v="2"/>
    <s v="https://drive.google.com/drive/folders/16Vpvdjr-fou8zRob4e5sdsTZp6IJ-TS9?usp=sharing"/>
    <n v="3212603917"/>
    <x v="0"/>
    <s v="Bogotá"/>
    <s v="Bogotá"/>
    <s v="RCE_260122_27"/>
    <m/>
    <d v="2026-01-27T00:00:00"/>
    <s v="Sí"/>
    <s v="Equipo Técnico Territorial"/>
    <s v="Sí"/>
    <s v="Activo"/>
    <m/>
    <s v="RCE_260122_27"/>
  </r>
  <r>
    <d v="2026-01-19T00:00:00"/>
    <s v="MIGUEL ÁNGEL MACÍAS ÁLVAREZ"/>
    <n v="1032379934"/>
    <x v="2"/>
    <s v="https://drive.google.com/drive/folders/1z9SYjgA7p5msYUM2uI-H8MB2Kcgjat-I?usp=sharing"/>
    <n v="3156125497"/>
    <x v="0"/>
    <s v="Bogotá"/>
    <s v="Bogotá"/>
    <s v="RCE_260122_27"/>
    <m/>
    <d v="2026-01-27T00:00:00"/>
    <s v="Sí"/>
    <s v="Equipo Técnico Territorial"/>
    <s v="No"/>
    <s v="Retirado"/>
    <m/>
    <s v="RCE_260122_27"/>
  </r>
  <r>
    <d v="2026-01-10T00:00:00"/>
    <s v="HELBERTH YAIR BABATIVA RODRIGUEZ"/>
    <n v="3119289"/>
    <x v="1"/>
    <s v="https://drive.google.com/drive/folders/1VNX2dICSN_hTQUckuZtEBm0VlZUdzs5C?usp=sharing"/>
    <s v="3112168399- 3108578185"/>
    <x v="4"/>
    <s v="Cundinamarca"/>
    <s v="Villagomez"/>
    <s v="RCE_260122_28"/>
    <m/>
    <d v="2026-01-13T00:00:00"/>
    <s v="Sí"/>
    <s v="Equipo Técnico Territorial"/>
    <s v="Sí"/>
    <s v="Retirado"/>
    <m/>
    <s v="RCE_260122_28"/>
  </r>
  <r>
    <d v="2026-01-10T00:00:00"/>
    <s v="RAMIRO PULIDO GUZMAN"/>
    <n v="14322190"/>
    <x v="1"/>
    <s v="https://drive.google.com/drive/folders/16TkYptGiiEdeg0xQGpW5YVum9MIioJPU?usp=sharing"/>
    <s v="320 489 8169"/>
    <x v="4"/>
    <s v="Cundinamarca"/>
    <s v="Guaduas"/>
    <s v="RCE_260122_28"/>
    <m/>
    <d v="2026-01-17T00:00:00"/>
    <s v="Sí"/>
    <s v="Equipo Técnico Territorial"/>
    <s v="Sí"/>
    <s v="Activo"/>
    <s v="No se pudo entablar contacto "/>
    <s v="RCE_260122_28"/>
  </r>
  <r>
    <d v="2026-01-10T00:00:00"/>
    <s v="ELIANA LIZETH MEDINA RIOS"/>
    <n v="1110465299"/>
    <x v="1"/>
    <s v="https://drive.google.com/drive/folders/1YLFmEFO7TaNgwMIkpDPIQawhkSHH8dRb?usp=sharing"/>
    <n v="3103071466"/>
    <x v="4"/>
    <s v="Tolima"/>
    <s v="Ibagué"/>
    <s v="RCE_260122_28"/>
    <m/>
    <d v="2026-01-17T00:00:00"/>
    <s v="Sí"/>
    <s v="Equipo Técnico Territorial"/>
    <s v="Sí"/>
    <s v="Activo"/>
    <m/>
    <s v="RCE_260122_28"/>
  </r>
  <r>
    <d v="2026-01-10T00:00:00"/>
    <s v="ANDRÉS LEONARDO VALCERO AGUDELO"/>
    <n v="1121883180"/>
    <x v="1"/>
    <s v="https://drive.google.com/drive/folders/1K47S0sFXGR6TGVGNizS3lkGYNf3vo67j?usp=sharing"/>
    <s v="315 827 9280"/>
    <x v="0"/>
    <s v="Meta"/>
    <s v="Villavicencio"/>
    <s v="RCE_260122_28"/>
    <m/>
    <d v="2026-01-27T00:00:00"/>
    <s v="Sí"/>
    <s v="Equipo Técnico Territorial"/>
    <s v="Sí"/>
    <s v="Activo"/>
    <s v="Perfil cumpleTécnico administrativo regional de apoyo_x000a_"/>
    <s v="RCE_260122_28"/>
  </r>
  <r>
    <d v="2026-01-10T00:00:00"/>
    <s v="DANIEL MAURICIO GUASGÜITA MORENO"/>
    <n v="1019089483"/>
    <x v="2"/>
    <s v="https://drive.google.com/drive/folders/12JczFLxCH0uL_Z5yczdbpmbeP_Tb6wvj?usp=sharing"/>
    <n v="3114935693"/>
    <x v="0"/>
    <s v="Bogotá"/>
    <s v="Bogotá"/>
    <s v="RCE_260122_28"/>
    <m/>
    <d v="2026-01-17T00:00:00"/>
    <s v="Sí"/>
    <s v="Equipo Técnico Territorial"/>
    <s v="No"/>
    <s v="Retirado"/>
    <m/>
    <s v="RCE_260122_28"/>
  </r>
  <r>
    <d v="2026-01-16T00:00:00"/>
    <s v="WINSTON SAÚL MADERO CELIS"/>
    <n v="91432760"/>
    <x v="1"/>
    <s v="https://drive.google.com/drive/folders/13jCsqqFjRPC6-4aV2cxh5m9CH1EX-hFB?usp=sharing"/>
    <n v="3502081669"/>
    <x v="1"/>
    <s v="Santander"/>
    <s v="Floridablanca"/>
    <s v="RCE_260122_29"/>
    <m/>
    <d v="2026-01-27T00:00:00"/>
    <s v="Sí"/>
    <s v="Equipo Técnico Territorial"/>
    <s v="Sí"/>
    <s v="Activo"/>
    <m/>
    <s v="RCE_260122_29"/>
  </r>
  <r>
    <d v="2026-01-16T00:00:00"/>
    <s v="NELCY YANETH MORA MENDIETA"/>
    <n v="52155915"/>
    <x v="2"/>
    <s v="https://drive.google.com/drive/folders/1ZiIfCQr09G2bMMIuGRTejs3DN4tmrQRR?usp=sharing"/>
    <s v="305799 5602"/>
    <x v="0"/>
    <s v="Bogotá"/>
    <s v="Bogotá"/>
    <s v="RCE_260122_29"/>
    <m/>
    <d v="2026-01-27T00:00:00"/>
    <s v="Sí"/>
    <s v="Equipo Técnico Territorial"/>
    <s v="Sí"/>
    <s v="Activo"/>
    <m/>
    <s v="RCE_260122_29"/>
  </r>
  <r>
    <d v="2026-01-19T00:00:00"/>
    <s v="FABIÁN ALBERTO ZÚÑIGA ORTIZ"/>
    <n v="1114210089"/>
    <x v="1"/>
    <s v="https://drive.google.com/drive/folders/1t2RI2zesB8eIXG53G8Psg8OUOFbP8Af6?usp=sharing"/>
    <s v="317 642 2944"/>
    <x v="3"/>
    <s v="Valle del cauca"/>
    <s v="La unión"/>
    <s v="RCE_260126_31"/>
    <s v="RCE_260121_23"/>
    <d v="2026-01-27T00:00:00"/>
    <s v="Sí"/>
    <s v="Equipo Técnico Territorial"/>
    <s v="Sí"/>
    <s v="Activo"/>
    <m/>
    <s v="RCE_260126_31"/>
  </r>
  <r>
    <d v="2026-01-23T00:00:00"/>
    <s v="EDGAR ARTURO PRIETO ACEVEDO"/>
    <n v="6776982"/>
    <x v="1"/>
    <s v="https://drive.google.com/drive/folders/12cAy1pgg7lOCIlgQi4av7cqL5zjGFY78?usp=sharing"/>
    <n v="3165282333"/>
    <x v="1"/>
    <s v="Boyacá"/>
    <s v="Chivata"/>
    <s v="RCE_260126_31"/>
    <m/>
    <d v="2026-01-27T00:00:00"/>
    <s v="Sí"/>
    <s v="Equipo Técnico Territorial"/>
    <s v="Sí"/>
    <s v="Activo"/>
    <m/>
    <s v="RCE_260126_31"/>
  </r>
  <r>
    <d v="2026-01-23T00:00:00"/>
    <s v="HARVY GENTIL DIAZ SIERRA"/>
    <n v="7733300"/>
    <x v="1"/>
    <s v="https://drive.google.com/drive/folders/1pqGrIPvi8rF2VWt1bNhCiAsskOvhqHxQ?usp=sharing"/>
    <n v="3127303159"/>
    <x v="3"/>
    <s v="Cauca"/>
    <s v="Timbío"/>
    <s v="RCE_260126_31"/>
    <m/>
    <d v="2026-01-27T00:00:00"/>
    <s v="Sí"/>
    <s v="Equipo Técnico Territorial"/>
    <s v="Sí"/>
    <s v="Activo"/>
    <m/>
    <s v="RCE_260126_31"/>
  </r>
  <r>
    <d v="2026-01-23T00:00:00"/>
    <s v="ADRIANA SERRATO MORALES"/>
    <n v="26529489"/>
    <x v="1"/>
    <s v="https://drive.google.com/drive/folders/1gcgiqdlMTNmATzewIcifQmYuL7SX5Acc?usp=sharing"/>
    <n v="3214438747"/>
    <x v="0"/>
    <s v="Huila"/>
    <s v="Neiva"/>
    <s v="RCE_260126_31"/>
    <m/>
    <d v="2026-01-27T00:00:00"/>
    <s v="Sí"/>
    <s v="Equipo Técnico Territorial"/>
    <s v="Sí"/>
    <s v="Activo"/>
    <m/>
    <s v="RCE_260126_31"/>
  </r>
  <r>
    <d v="2026-01-23T00:00:00"/>
    <s v="NURY CARMENZA CHAPARRO CUBIDES"/>
    <n v="46386713"/>
    <x v="1"/>
    <s v="https://drive.google.com/drive/folders/1O3CZc9dFcOE8dUOvjZbhsCSprd0dE3uh?usp=sharing"/>
    <n v="3145407272"/>
    <x v="1"/>
    <s v="Casanare"/>
    <s v="Yopal"/>
    <s v="RCE_260126_31"/>
    <m/>
    <d v="2026-01-27T00:00:00"/>
    <s v="Sí"/>
    <s v="Equipo Técnico Territorial"/>
    <s v="Sí"/>
    <s v="Activo"/>
    <m/>
    <s v="RCE_260126_31"/>
  </r>
  <r>
    <d v="2026-01-23T00:00:00"/>
    <s v="CLAUDIA LILIANA SOTO HERNANDEZ"/>
    <n v="60394213"/>
    <x v="1"/>
    <s v="https://drive.google.com/drive/folders/1G62S3H6uVrt76IAdApcVYY-z729TEf5S?usp=sharing"/>
    <n v="3225138723"/>
    <x v="1"/>
    <s v="Arauca"/>
    <s v="Saravena"/>
    <s v="RCE_260126_31"/>
    <m/>
    <d v="2026-01-27T00:00:00"/>
    <s v="Sí"/>
    <s v="Equipo Técnico Territorial"/>
    <s v="Sí"/>
    <s v="Activo"/>
    <m/>
    <s v="RCE_260126_31"/>
  </r>
  <r>
    <d v="2026-01-23T00:00:00"/>
    <s v="MARÍA EUGENIA BERNAL GUTIERREZ"/>
    <n v="65754443"/>
    <x v="1"/>
    <s v="https://drive.google.com/drive/folders/1JJ9LdS9exZeL5y8hvC8dYkQwx9FnswQJ?usp=sharing"/>
    <n v="3203208130"/>
    <x v="0"/>
    <s v="Huila"/>
    <s v="La plata"/>
    <s v="RCE_260126_31"/>
    <m/>
    <d v="2026-01-27T00:00:00"/>
    <s v="Sí"/>
    <s v="Equipo Técnico Territorial"/>
    <s v="No"/>
    <s v="Retirado"/>
    <m/>
    <s v="RCE_260126_31"/>
  </r>
  <r>
    <d v="2026-01-23T00:00:00"/>
    <s v="GIOVANNI JAVIER LAITON GUTIERREZ"/>
    <n v="80038855"/>
    <x v="1"/>
    <s v="https://drive.google.com/drive/folders/1zGKXqbXUBshOlEgY6OFYO3WuVtCNujHr?usp=sharing"/>
    <n v="3175829147"/>
    <x v="4"/>
    <s v="Bogotá"/>
    <s v="Bogotá"/>
    <s v="RCE_260126_31"/>
    <m/>
    <d v="2026-01-27T00:00:00"/>
    <s v="Sí"/>
    <s v="Equipo Técnico Territorial"/>
    <s v="Sí"/>
    <s v="Activo"/>
    <m/>
    <s v="RCE_260126_31"/>
  </r>
  <r>
    <d v="2026-01-23T00:00:00"/>
    <s v="RICARDO ELICEO PEREZ ANGARITA"/>
    <n v="80803817"/>
    <x v="1"/>
    <s v="https://drive.google.com/drive/folders/1n-9Fseq8f6NSaY8FiGTVzNfgFi0TpED_?usp=sharing"/>
    <n v="3112393683"/>
    <x v="1"/>
    <s v="Cundinamarca"/>
    <s v="Chia"/>
    <s v="RCE_260126_31"/>
    <m/>
    <d v="2026-01-27T00:00:00"/>
    <s v="Sí"/>
    <s v="Equipo Técnico Territorial"/>
    <s v="Sí"/>
    <s v="Activo"/>
    <m/>
    <s v="RCE_260126_31"/>
  </r>
  <r>
    <d v="2026-01-23T00:00:00"/>
    <s v="RICHAR ELKIN ACOSTA PABON"/>
    <n v="87452838"/>
    <x v="1"/>
    <s v="https://drive.google.com/drive/folders/1mX5gqlD1Quz8HvPMkuKpmLwwqaxVJEHV?usp=sharing"/>
    <n v="3138196285"/>
    <x v="3"/>
    <s v="Nariño"/>
    <s v="San juan de pasto"/>
    <s v="RCE_260126_31"/>
    <m/>
    <d v="2026-01-27T00:00:00"/>
    <s v="Sí"/>
    <s v="Equipo Técnico Territorial"/>
    <s v="Sí"/>
    <s v="Activo"/>
    <m/>
    <s v="RCE_260126_31"/>
  </r>
  <r>
    <d v="2026-01-23T00:00:00"/>
    <s v="EDILBERTO ADEL LLORENTE CASTRO"/>
    <n v="1067402089"/>
    <x v="1"/>
    <s v="https://drive.google.com/drive/folders/1-d6NI8UFJICj7hTeX2vEnb5k-nDcEHoc?usp=sharing"/>
    <n v="3053124429"/>
    <x v="2"/>
    <s v="Córdoba"/>
    <s v="Purísima"/>
    <s v="RCE_260126_31"/>
    <m/>
    <d v="2026-01-27T00:00:00"/>
    <s v="Sí"/>
    <s v="Equipo Técnico Territorial"/>
    <s v="Sí"/>
    <s v="Activo"/>
    <m/>
    <s v="RCE_260126_31"/>
  </r>
  <r>
    <d v="2026-01-23T00:00:00"/>
    <s v="HAROLD YESID SALAZAR PORTILLA"/>
    <n v="1101691037"/>
    <x v="1"/>
    <s v="https://drive.google.com/drive/folders/1VXaa77iCBIWSpRYdDJFwyqBqq6OcTac3?usp=sharing"/>
    <n v="3209217787"/>
    <x v="1"/>
    <s v="Santander"/>
    <s v="Floridablanca"/>
    <s v="RCE_260126_31"/>
    <m/>
    <d v="2026-01-27T00:00:00"/>
    <s v="Sí"/>
    <s v="Equipo Técnico Territorial"/>
    <s v="No"/>
    <s v="Retirado"/>
    <m/>
    <s v="RCE_260126_31"/>
  </r>
  <r>
    <d v="2026-01-23T00:00:00"/>
    <s v="ERIKA PAOLA ARCINIEGAS ROJAS"/>
    <n v="1121869938"/>
    <x v="1"/>
    <s v="https://drive.google.com/drive/folders/17MF7o64j4N4ePPhQWhenGYG7fJX7Yf7b?usp=sharing"/>
    <n v="3004738959"/>
    <x v="1"/>
    <s v="Boyacá"/>
    <s v="Páez"/>
    <s v="RCE_260126_31"/>
    <m/>
    <d v="2026-01-27T00:00:00"/>
    <s v="Sí"/>
    <s v="Equipo Técnico Territorial"/>
    <s v="No"/>
    <s v="Retirado"/>
    <m/>
    <s v="RCE_260126_31"/>
  </r>
  <r>
    <d v="2026-01-23T00:00:00"/>
    <s v="CRISTIAN STEVEN PIÑEROS BONILLA"/>
    <n v="1144066363"/>
    <x v="1"/>
    <s v="https://drive.google.com/drive/folders/1QwFxpk-4zpfQZvPQququmkn2Qd9qcmwZ?usp=sharing"/>
    <n v="3196902003"/>
    <x v="3"/>
    <s v="Valle del cauca"/>
    <s v="Cali"/>
    <s v="RCE_260126_31"/>
    <m/>
    <d v="2026-01-27T00:00:00"/>
    <s v="Sí"/>
    <s v="Equipo Técnico Territorial"/>
    <s v="Sí"/>
    <s v="Activo"/>
    <m/>
    <s v="RCE_260126_31"/>
  </r>
  <r>
    <d v="2026-01-23T00:00:00"/>
    <s v="ANDRES CAMILO SAEZ ESPITIA"/>
    <n v="1012440591"/>
    <x v="8"/>
    <s v="https://drive.google.com/drive/folders/1qZWSK58wJbfpaJEpXd9WyNw_OFH79m5F?usp=sharing"/>
    <n v="3114889443"/>
    <x v="0"/>
    <s v="Bogotá"/>
    <s v="Bogotá"/>
    <s v="RCE_260126_31"/>
    <m/>
    <d v="2026-01-27T00:00:00"/>
    <s v="Sí"/>
    <s v="Equipo Nacional"/>
    <s v="No"/>
    <s v="En Base de Datos"/>
    <m/>
    <s v="RCE_260126_31"/>
  </r>
  <r>
    <d v="2026-01-23T00:00:00"/>
    <s v="ANDRÉS MAURICIO CAMACHO MONTEALEGRE"/>
    <n v="9729732"/>
    <x v="2"/>
    <s v="https://drive.google.com/drive/folders/1_kmvYs61oj8yc7yskMMk2DASUB9rgMM3?usp=sharing"/>
    <n v="3154125376"/>
    <x v="4"/>
    <s v="Tolima"/>
    <s v="Ibagué"/>
    <s v="RCE_260126_31"/>
    <m/>
    <d v="2026-01-27T00:00:00"/>
    <s v="Sí"/>
    <s v="Equipo Técnico Territorial"/>
    <s v="No"/>
    <s v="Retirado"/>
    <m/>
    <s v="RCE_260126_31"/>
  </r>
  <r>
    <d v="2026-01-23T00:00:00"/>
    <s v="MILDRED ILIANA ORDOÑEZ QUINTERO"/>
    <n v="25282094"/>
    <x v="2"/>
    <s v="https://drive.google.com/drive/folders/1PFnkoQnFeGuyQ_yH4REXctDwmlx1KcRt?usp=sharing"/>
    <n v="3128243365"/>
    <x v="3"/>
    <s v="Cauca"/>
    <s v="Popayán"/>
    <s v="RCE_260126_31"/>
    <m/>
    <d v="2026-01-27T00:00:00"/>
    <s v="Sí"/>
    <s v="Equipo Técnico Territorial"/>
    <s v="Sí"/>
    <s v="Activo"/>
    <m/>
    <s v="RCE_260126_31"/>
  </r>
  <r>
    <d v="2026-01-23T00:00:00"/>
    <s v="LIZAIDA MARGANTA BUELVAS NARANJO"/>
    <n v="25913417"/>
    <x v="2"/>
    <s v="https://drive.google.com/drive/folders/1pAWEtcSd1JNHK93lsC2sf6KBSA2v3b_l?usp=sharing"/>
    <n v="3008538716"/>
    <x v="2"/>
    <s v="Córdoba"/>
    <s v="Chinú"/>
    <s v="RCE_260126_31"/>
    <m/>
    <d v="2026-01-27T00:00:00"/>
    <s v="Sí"/>
    <s v="Equipo Técnico Territorial"/>
    <s v="Sí"/>
    <s v="Activo"/>
    <m/>
    <s v="RCE_260126_31"/>
  </r>
  <r>
    <d v="2026-01-23T00:00:00"/>
    <s v="LUZ YADIRA MORENO PEREA"/>
    <n v="35892411"/>
    <x v="2"/>
    <s v="https://drive.google.com/drive/folders/1yBPqBv5YIhR6HtfXZnPBYcFKFn6moCqN?usp=sharing"/>
    <n v="3148080376"/>
    <x v="3"/>
    <s v="Chocó"/>
    <s v="Quibdó"/>
    <s v="RCE_260126_31"/>
    <m/>
    <d v="2026-01-27T00:00:00"/>
    <s v="Sí"/>
    <s v="Equipo Técnico Territorial"/>
    <s v="No"/>
    <s v="En Base de Datos"/>
    <m/>
    <s v="RCE_260126_31"/>
  </r>
  <r>
    <d v="2026-01-23T00:00:00"/>
    <s v="VIVIANA ANDREA VEGA PINEDA"/>
    <n v="46455782"/>
    <x v="2"/>
    <s v="https://drive.google.com/drive/folders/1U749rjEAOHXaiMRg4YOwrwrpWBcMTE7j?usp=sharing"/>
    <n v="3142887064"/>
    <x v="1"/>
    <s v="Boyacá"/>
    <s v="Duitama"/>
    <s v="RCE_260126_31"/>
    <m/>
    <d v="2026-01-27T00:00:00"/>
    <s v="Sí"/>
    <s v="Equipo Técnico Territorial"/>
    <s v="Sí"/>
    <s v="Activo"/>
    <m/>
    <s v="RCE_260126_31"/>
  </r>
  <r>
    <d v="2026-01-23T00:00:00"/>
    <s v="Juan Pablo Leal Riveros"/>
    <n v="7095172"/>
    <x v="1"/>
    <s v="https://drive.google.com/drive/folders/1sm88e_nw6wXliZuHbc16pqoSE_-d6GHS?usp=sharing"/>
    <n v="3104401589"/>
    <x v="4"/>
    <s v="Bogotá"/>
    <s v="Bogotá"/>
    <s v="RCE_260127_33"/>
    <m/>
    <d v="2026-02-09T00:00:00"/>
    <s v="Sí"/>
    <s v="Equipo Técnico Territorial"/>
    <s v="Sí"/>
    <s v="Activo"/>
    <m/>
    <s v="RCE_260127_33"/>
  </r>
  <r>
    <d v="2026-01-23T00:00:00"/>
    <s v="Nicolas Ballesteros Sánchez "/>
    <n v="80037495"/>
    <x v="2"/>
    <s v="https://drive.google.com/drive/folders/1NasoDCngdu6ayr1WJ75Gdt8JcIRKkHRE?usp=sharing"/>
    <n v="3112500290"/>
    <x v="0"/>
    <s v="Bogotá"/>
    <s v="Bogotá"/>
    <s v="RCE_260127_33"/>
    <m/>
    <d v="2026-02-09T00:00:00"/>
    <s v="Sí"/>
    <s v="Equipo Técnico Territorial"/>
    <s v="Sí"/>
    <s v="Activo"/>
    <m/>
    <s v="RCE_260127_33"/>
  </r>
  <r>
    <d v="2026-01-23T00:00:00"/>
    <s v="María Cecilia Castro Luque "/>
    <n v="107768932"/>
    <x v="2"/>
    <s v="https://drive.google.com/drive/folders/192BrhI9Kn6h2d4gKfHDFze7RZyrVBdQ-?usp=sharing"/>
    <n v="3226161925"/>
    <x v="0"/>
    <s v="Bogotá"/>
    <s v="Bogotá"/>
    <s v="RCE_260127_33"/>
    <m/>
    <d v="2026-02-09T00:00:00"/>
    <s v="Sí"/>
    <s v="Equipo Técnico Territorial"/>
    <s v="No"/>
    <s v="En Base de Datos"/>
    <m/>
    <s v="RCE_260127_33"/>
  </r>
  <r>
    <d v="2026-01-23T00:00:00"/>
    <s v="Cristian Camilo Velásquez Cardona"/>
    <n v="1002744143"/>
    <x v="2"/>
    <s v="https://drive.google.com/drive/folders/1SpRTHy90nXsHci7pjVRaD118TRN3e0wp?usp=sharing"/>
    <n v="3128630582"/>
    <x v="3"/>
    <s v="Bogotá"/>
    <s v="Bogotá"/>
    <s v="RCE_260127_33"/>
    <m/>
    <d v="2026-02-09T00:00:00"/>
    <s v="Sí"/>
    <s v="Equipo Técnico Territorial"/>
    <s v="No"/>
    <s v="Retirado"/>
    <m/>
    <s v="RCE_260127_33"/>
  </r>
  <r>
    <d v="2026-01-23T00:00:00"/>
    <s v="Karen Dayana Rubiano Gambasica"/>
    <n v="1013683058"/>
    <x v="2"/>
    <s v="https://drive.google.com/drive/folders/1_yJrICob6mmpOjFN0JtfunL0KvfO5j0j?usp=sharing"/>
    <n v="3219263614"/>
    <x v="0"/>
    <s v="Bogotá"/>
    <s v="Bogotá"/>
    <s v="RCE_260127_33"/>
    <m/>
    <d v="2026-02-09T00:00:00"/>
    <s v="Sí"/>
    <s v="Equipo Técnico Territorial"/>
    <s v="No"/>
    <s v="En Base de Datos"/>
    <m/>
    <s v="RCE_260127_33"/>
  </r>
  <r>
    <d v="2026-01-23T00:00:00"/>
    <s v="Kimberly Gisselle Orjuela Vergara "/>
    <n v="1018428613"/>
    <x v="2"/>
    <s v="https://drive.google.com/drive/folders/1wXx9H5yCDJc5xJqlpFXhzq18Oepouo_I?usp=sharing"/>
    <n v="3108198105"/>
    <x v="4"/>
    <s v="Bogotá"/>
    <s v="Bogotá"/>
    <s v="RCE_260127_33"/>
    <m/>
    <d v="2026-02-09T00:00:00"/>
    <s v="Sí"/>
    <s v="Equipo Técnico Territorial"/>
    <s v="No"/>
    <s v="En Base de Datos"/>
    <m/>
    <s v="RCE_260127_33"/>
  </r>
  <r>
    <d v="2026-01-23T00:00:00"/>
    <s v="Cristian Felipe Diaz Vargas "/>
    <n v="1022373506"/>
    <x v="2"/>
    <s v="https://drive.google.com/drive/folders/1wp4fS7ybzKnKwgUSw2_InhXGxukF4Bhj?usp=sharing"/>
    <n v="3105761982"/>
    <x v="0"/>
    <s v="Bogotá"/>
    <s v="Bogotá"/>
    <s v="RCE_260127_33"/>
    <m/>
    <d v="2026-02-09T00:00:00"/>
    <s v="Sí"/>
    <s v="Equipo Técnico Territorial"/>
    <s v="No"/>
    <s v="Retirado"/>
    <m/>
    <s v="RCE_260127_33"/>
  </r>
  <r>
    <d v="2026-01-23T00:00:00"/>
    <s v="Daiyen Tatiana Velásquez "/>
    <n v="1073171079"/>
    <x v="2"/>
    <s v="https://drive.google.com/drive/folders/1F5cg40wZxqjaFJVfVD9KJgAVIUbinfmC?usp=sharing"/>
    <n v="3057509382"/>
    <x v="1"/>
    <s v="Cundinamarca"/>
    <s v="Madrid"/>
    <s v="RCE_260127_33"/>
    <m/>
    <d v="2026-02-09T00:00:00"/>
    <s v="Sí"/>
    <s v="Equipo Técnico Territorial"/>
    <s v="Sí"/>
    <s v="Activo"/>
    <m/>
    <s v="RCE_260127_33"/>
  </r>
  <r>
    <d v="2026-01-23T00:00:00"/>
    <s v="Angy Yulieth Galvis Arias"/>
    <n v="1096231390"/>
    <x v="2"/>
    <s v="https://drive.google.com/drive/folders/1W6vPJJ1jSx0HwkHq6De4sSEDBGm3hfm6?usp=sharing"/>
    <n v="3133723985"/>
    <x v="0"/>
    <s v="Santander"/>
    <s v="Barrancabermeja"/>
    <s v="RCE_260127_33"/>
    <m/>
    <d v="2026-02-09T00:00:00"/>
    <s v="Sí"/>
    <s v="Equipo Técnico Territorial"/>
    <s v="No"/>
    <s v="En Base de Datos"/>
    <m/>
    <s v="RCE_260127_33"/>
  </r>
  <r>
    <d v="2026-01-16T00:00:00"/>
    <s v="DAVID ENRIQUE MONTAÑO GÓMEZ"/>
    <n v="1020746780"/>
    <x v="5"/>
    <s v="https://drive.google.com/drive/folders/1nChymlT0GBS-P7_pxKGGAspbZjM0iCUN?usp=sharing"/>
    <s v="305 795 9920"/>
    <x v="0"/>
    <s v="Cundinamarca"/>
    <s v="Zipaquirá"/>
    <s v="RCE_260128_35"/>
    <s v="RCE_260120_21"/>
    <d v="2026-01-27T00:00:00"/>
    <s v="Sí"/>
    <s v="Equipo Nacional"/>
    <s v="No"/>
    <s v="En Base de Datos"/>
    <m/>
    <s v="RCE_260128_35"/>
  </r>
  <r>
    <d v="2026-01-23T00:00:00"/>
    <s v="Nidia Moreno Clavijo"/>
    <n v="28951480"/>
    <x v="1"/>
    <s v="https://drive.google.com/drive/folders/1JZ_9glieOvbQsbgloXGEsqO-CWpvnWce?usp=sharing"/>
    <n v="3123599815"/>
    <x v="4"/>
    <s v="Tolima"/>
    <s v="Ibagué"/>
    <s v="RCE_260128_35"/>
    <m/>
    <d v="2026-02-09T00:00:00"/>
    <s v="Sí"/>
    <s v="Equipo Técnico Territorial"/>
    <s v="No"/>
    <s v="Retirado"/>
    <m/>
    <s v="RCE_260128_35"/>
  </r>
  <r>
    <d v="2026-01-23T00:00:00"/>
    <s v="JOHN JACOBO PALOMINO COLLAZOS"/>
    <n v="93391042"/>
    <x v="1"/>
    <s v="https://drive.google.com/drive/folders/1-oN3UKA-cZMLTJfljywpj91srowPRW0r?usp=sharing"/>
    <n v="3186347608"/>
    <x v="4"/>
    <s v="Tolima"/>
    <s v="Ibagué"/>
    <s v="RCE_260128_35"/>
    <m/>
    <d v="2026-02-09T00:00:00"/>
    <s v="Sí"/>
    <s v="Equipo Técnico Territorial"/>
    <s v="Sí"/>
    <s v="Activo"/>
    <m/>
    <s v="RCE_260128_35"/>
  </r>
  <r>
    <d v="2026-01-23T00:00:00"/>
    <s v="LUIS CARLOS GOMEZ"/>
    <n v="1014210909"/>
    <x v="2"/>
    <s v="https://drive.google.com/drive/folders/1pcjNm6wngnFYjej-9K122HMNohNQ3OwH?usp=sharing"/>
    <n v="3007712462"/>
    <x v="0"/>
    <s v="Bogotá"/>
    <s v="Bogotá"/>
    <s v="RCE_260128_35"/>
    <m/>
    <d v="2026-02-09T00:00:00"/>
    <s v="Sí"/>
    <s v="Equipo Técnico Territorial"/>
    <s v="No"/>
    <s v="Retirado"/>
    <m/>
    <s v="RCE_260128_35"/>
  </r>
  <r>
    <d v="2026-01-23T00:00:00"/>
    <s v="Kendy Paola Tapia Díaz"/>
    <n v="1045716995"/>
    <x v="2"/>
    <s v="https://drive.google.com/drive/folders/1gv3jLYrYcnH5n42HvXu5Oh9g48mX9D2E?usp=sharing"/>
    <n v="3153946273"/>
    <x v="0"/>
    <s v="Bogotá"/>
    <s v="Bogotá"/>
    <s v="RCE_260128_35"/>
    <m/>
    <d v="2026-02-09T00:00:00"/>
    <s v="Sí"/>
    <s v="Equipo Técnico Territorial"/>
    <s v="No"/>
    <s v="En Base de Datos"/>
    <m/>
    <s v="RCE_260128_35"/>
  </r>
  <r>
    <d v="2026-01-10T00:00:00"/>
    <s v="JULLY KATHERINE MENDEZ CLAVIJO"/>
    <n v="1026254713"/>
    <x v="1"/>
    <s v="https://drive.google.com/drive/folders/1XCwuM8fu8KOnLpeyvDSObFW8FNBcKIzv?usp=sharing"/>
    <n v="3112730466"/>
    <x v="1"/>
    <s v="Casanare"/>
    <s v="Tuaramena"/>
    <s v="RCE_260131_37"/>
    <s v="RCE_260122_30"/>
    <d v="2026-02-06T00:00:00"/>
    <s v="Sí"/>
    <s v="Equipo Técnico Territorial"/>
    <s v="Sí"/>
    <s v="Activo"/>
    <m/>
    <s v="RCE_260131_37"/>
  </r>
  <r>
    <d v="2026-01-28T00:00:00"/>
    <s v="DIEGO ALEJANDRO PÉREZ GIRALDO"/>
    <n v="18522139"/>
    <x v="1"/>
    <s v="https://drive.google.com/drive/folders/1uY4yhWQYUu4y0JDH6HF2Z2f70EaFo7Af?usp=sharing"/>
    <n v="3164729794"/>
    <x v="4"/>
    <s v="Risaralda"/>
    <s v="Pereira"/>
    <s v="RCE_260131_37"/>
    <m/>
    <d v="2026-02-09T00:00:00"/>
    <s v="Sí"/>
    <s v="Equipo Técnico Territorial"/>
    <s v="No"/>
    <s v="Retirado"/>
    <m/>
    <s v="RCE_260131_37"/>
  </r>
  <r>
    <d v="2026-01-28T00:00:00"/>
    <s v="Juan Guillermo Patiño Benavides"/>
    <n v="75089773"/>
    <x v="1"/>
    <s v="https://drive.google.com/drive/folders/1Qdx0GR2GvccjVFlFWYYjISWb0pvxyLRk?usp=sharing"/>
    <n v="3007191926"/>
    <x v="3"/>
    <s v="Nariño"/>
    <s v="Pasto"/>
    <s v="RCE_260131_37"/>
    <m/>
    <d v="2026-02-09T00:00:00"/>
    <s v="Sí"/>
    <s v="Equipo Técnico Territorial"/>
    <s v="Sí"/>
    <s v="Activo"/>
    <m/>
    <s v="RCE_260131_37"/>
  </r>
  <r>
    <d v="2026-01-28T00:00:00"/>
    <s v="CAMILO MARTÍNEZ CUCHIMAQUE"/>
    <n v="80224506"/>
    <x v="1"/>
    <s v="https://drive.google.com/drive/folders/1T_cFOPTo2VaorfT5eehf0QBu-KzMXoPd?usp=sharing"/>
    <n v="3143852275"/>
    <x v="3"/>
    <s v="Bogotá"/>
    <s v="Bogotá"/>
    <s v="RCE_260131_37"/>
    <m/>
    <d v="2026-02-09T00:00:00"/>
    <s v="Sí"/>
    <s v="Equipo Técnico Territorial"/>
    <s v="Sí"/>
    <s v="Activo"/>
    <m/>
    <s v="RCE_260131_37"/>
  </r>
  <r>
    <d v="2026-01-28T00:00:00"/>
    <s v="OSPICIO GUILLERMO BAQUERO SERRANO"/>
    <n v="84085086"/>
    <x v="1"/>
    <s v="https://drive.google.com/drive/folders/1mFzEBg7F48RuPgjjZLWeJOjpoqmwbDIm?usp=sharing"/>
    <n v="3046780887"/>
    <x v="4"/>
    <s v="Tolima"/>
    <s v="Ibagué"/>
    <s v="RCE_260131_37"/>
    <m/>
    <d v="2026-02-09T00:00:00"/>
    <s v="Sí"/>
    <s v="Equipo Técnico Territorial"/>
    <s v="Sí"/>
    <s v="Activo"/>
    <m/>
    <s v="RCE_260131_37"/>
  </r>
  <r>
    <d v="2026-01-28T00:00:00"/>
    <s v="WALTER MAURICIO JARAMILLO GIL"/>
    <n v="98670000"/>
    <x v="1"/>
    <s v="https://drive.google.com/drive/folders/1gYgIiNlRhS-S_bk_sBtXg8vC-Ph4-UU7?usp=sharing"/>
    <n v="3007481854"/>
    <x v="3"/>
    <s v="Antioquia"/>
    <s v="Medellín"/>
    <s v="RCE_260131_37"/>
    <m/>
    <d v="2026-02-09T00:00:00"/>
    <s v="Sí"/>
    <s v="Equipo Técnico Territorial"/>
    <s v="Sí"/>
    <s v="Activo"/>
    <m/>
    <s v="RCE_260131_37"/>
  </r>
  <r>
    <d v="2026-01-28T00:00:00"/>
    <s v="Maria Monica Mejia Peralta"/>
    <n v="1067817288"/>
    <x v="1"/>
    <s v="https://drive.google.com/drive/folders/1ZPmYr7sYf_mU3EVlZQv-9MEz7Q79yTmx?usp=sharing"/>
    <n v="3008501379"/>
    <x v="0"/>
    <s v="Bogotá"/>
    <s v="Bogotá"/>
    <s v="RCE_260131_37"/>
    <m/>
    <d v="2026-02-09T00:00:00"/>
    <s v="Sí"/>
    <s v="Equipo Técnico Territorial"/>
    <s v="Sí"/>
    <s v="Activo"/>
    <m/>
    <s v="RCE_260131_37"/>
  </r>
  <r>
    <d v="2026-01-28T00:00:00"/>
    <s v="Katherine Susana Barón Perdomo"/>
    <n v="1082873559"/>
    <x v="1"/>
    <s v="https://drive.google.com/drive/folders/1Fk_uX0bzym-Af2VD0HkFAcUyhPom21Mx?usp=sharing"/>
    <n v="3006409202"/>
    <x v="2"/>
    <s v="Magdalena"/>
    <s v="Santa Marta"/>
    <s v="RCE_260131_37"/>
    <m/>
    <d v="2026-02-09T00:00:00"/>
    <s v="Sí"/>
    <s v="Equipo Técnico Territorial"/>
    <s v="Sí"/>
    <s v="Activo"/>
    <m/>
    <s v="RCE_260131_37"/>
  </r>
  <r>
    <d v="2026-01-28T00:00:00"/>
    <s v="Mario Fernando Gomez Murillo"/>
    <n v="1085245667"/>
    <x v="1"/>
    <s v="https://drive.google.com/drive/folders/1F4z7BtsitStwGEEFElckTOL13QOglZT9?usp=sharing"/>
    <n v="3158356222"/>
    <x v="3"/>
    <s v="Nariño"/>
    <s v="Pasto"/>
    <s v="RCE_260131_37"/>
    <m/>
    <d v="2026-02-09T00:00:00"/>
    <s v="Sí"/>
    <s v="Equipo Técnico Territorial"/>
    <s v="Sí"/>
    <s v="Activo"/>
    <m/>
    <s v="RCE_260131_37"/>
  </r>
  <r>
    <d v="2026-01-28T00:00:00"/>
    <s v="INGRID MARCELA CHACÓN LÓPEZ"/>
    <n v="1118568553"/>
    <x v="1"/>
    <s v="https://drive.google.com/drive/folders/1-GkQTa-Sj9t7T-kCGTitTW4uPSzNd4ek?usp=sharing"/>
    <n v="3214227536"/>
    <x v="0"/>
    <s v="Bogotá"/>
    <s v="Bogotá"/>
    <s v="RCE_260131_37"/>
    <m/>
    <d v="2026-02-09T00:00:00"/>
    <s v="Sí"/>
    <s v="Equipo Técnico Territorial"/>
    <s v="Sí"/>
    <s v="Retirado"/>
    <s v="Retirada 17/02/2026"/>
    <s v="RCE_260131_37"/>
  </r>
  <r>
    <d v="2026-01-28T00:00:00"/>
    <s v="Igmar Hernando Leon Jimenez"/>
    <n v="1121922931"/>
    <x v="1"/>
    <s v="https://drive.google.com/drive/folders/1n0LfCvVylSOqZWyRf9wx2AFe86ov02XT?usp=sharing"/>
    <n v="3209815876"/>
    <x v="0"/>
    <s v="Bogotá"/>
    <s v="Bogotá"/>
    <s v="RCE_260131_37"/>
    <m/>
    <d v="2026-02-09T00:00:00"/>
    <s v="Sí"/>
    <s v="Equipo Técnico Territorial"/>
    <s v="No"/>
    <s v="Retirado"/>
    <m/>
    <s v="RCE_260131_37"/>
  </r>
  <r>
    <d v="2026-01-28T00:00:00"/>
    <s v="SANDRA PATRICIA RINCON"/>
    <n v="1116496139"/>
    <x v="5"/>
    <s v="https://drive.google.com/drive/folders/15YN0Jet1MYJLta8Yvt-R9EK_fxjA24y-?usp=drive_link"/>
    <n v="3027503577"/>
    <x v="1"/>
    <s v="Arauca"/>
    <s v="Saravena"/>
    <s v="RCE_260131_37"/>
    <m/>
    <d v="2026-02-09T00:00:00"/>
    <s v="Sí"/>
    <s v="Equipo Nacional"/>
    <s v="Sí"/>
    <s v="Activo"/>
    <m/>
    <s v="RCE_260131_37"/>
  </r>
  <r>
    <d v="2026-01-28T00:00:00"/>
    <s v="GLORIA CRISTINA TORRES MACHADO"/>
    <n v="32202673"/>
    <x v="2"/>
    <s v="https://drive.google.com/drive/folders/1qYHVPGU2tVO2KH01wxH6yX0tn_07Z-bL?usp=sharing"/>
    <n v="3218567876"/>
    <x v="3"/>
    <s v="Antioquia"/>
    <s v="Apartadó"/>
    <s v="RCE_260131_37"/>
    <m/>
    <d v="2026-02-09T00:00:00"/>
    <s v="Sí"/>
    <s v="Equipo Técnico Territorial"/>
    <s v="Sí"/>
    <s v="Activo"/>
    <s v="Segundo apellido Machado"/>
    <s v="RCE_260131_37"/>
  </r>
  <r>
    <d v="2026-01-28T00:00:00"/>
    <s v="DIANA ALEJANDRA FULI GARCIA"/>
    <n v="34328959"/>
    <x v="2"/>
    <s v="https://drive.google.com/drive/folders/1AwljIn-4QolbOvK1HfYQMwtGwisBDZpo?usp=sharing"/>
    <n v="8357743"/>
    <x v="3"/>
    <s v="Cauca"/>
    <s v="Popayán"/>
    <s v="RCE_260131_37"/>
    <m/>
    <d v="2026-02-09T00:00:00"/>
    <s v="Sí"/>
    <s v="Equipo Técnico Territorial"/>
    <s v="Sí"/>
    <s v="Activo"/>
    <m/>
    <s v="RCE_260131_37"/>
  </r>
  <r>
    <d v="2026-01-28T00:00:00"/>
    <s v="Paola Albeiris Vargas Diaz"/>
    <n v="52361261"/>
    <x v="2"/>
    <s v="https://drive.google.com/drive/folders/1o_LkApH9j7iLI5cI6sKB8Rg362t9_s3z?usp=sharing"/>
    <n v="3154236477"/>
    <x v="0"/>
    <s v="Bogotá"/>
    <s v="Bogotá"/>
    <s v="RCE_260131_37"/>
    <m/>
    <d v="2026-02-09T00:00:00"/>
    <s v="Sí"/>
    <s v="Equipo Técnico Territorial"/>
    <s v="No"/>
    <s v="En Base de Datos"/>
    <m/>
    <s v="RCE_260131_37"/>
  </r>
  <r>
    <d v="2026-01-28T00:00:00"/>
    <s v="Yeimy Liliana Pulido Chaves"/>
    <n v="52708716"/>
    <x v="2"/>
    <s v="https://drive.google.com/drive/folders/1xcgPtaPFKdqQvgUx3dsK58b28xxHOEjy?usp=sharing"/>
    <n v="3174800165"/>
    <x v="0"/>
    <s v="Bogotá"/>
    <s v="Bogotá"/>
    <s v="RCE_260131_37"/>
    <m/>
    <d v="2026-02-09T00:00:00"/>
    <s v="Sí"/>
    <s v="Equipo Técnico Territorial"/>
    <s v="No"/>
    <s v="En Base de Datos"/>
    <m/>
    <s v="RCE_260131_37"/>
  </r>
  <r>
    <d v="2026-01-28T00:00:00"/>
    <s v="DIANA PATRICIA ISAZA UNI"/>
    <n v="52967891"/>
    <x v="2"/>
    <s v="https://drive.google.com/drive/folders/1y1OejYHL6L4dRXYmJVEJo89-BdAC8eDH?usp=sharing"/>
    <n v="3150050280"/>
    <x v="0"/>
    <s v="Bogotá"/>
    <s v="Bogotá"/>
    <s v="RCE_260131_37"/>
    <m/>
    <d v="2026-02-09T00:00:00"/>
    <s v="Sí"/>
    <s v="Equipo Técnico Territorial"/>
    <s v="No"/>
    <s v="En Base de Datos"/>
    <s v="Desiste del proceso "/>
    <s v="RCE_260131_37"/>
  </r>
  <r>
    <d v="2026-01-28T00:00:00"/>
    <s v="Gina Paola Gonzalez vanegas"/>
    <n v="53079677"/>
    <x v="2"/>
    <s v="https://drive.google.com/drive/folders/1v70l_6h-5Na-ahjAFDDSGm4O-2ujGmXi?usp=sharing"/>
    <n v="3214941301"/>
    <x v="0"/>
    <s v="Bogotá"/>
    <s v="Bogotá"/>
    <s v="RCE_260131_37"/>
    <m/>
    <d v="2026-02-09T00:00:00"/>
    <s v="Sí"/>
    <s v="Equipo Técnico Territorial"/>
    <s v="No"/>
    <s v="En Base de Datos"/>
    <m/>
    <s v="RCE_260131_37"/>
  </r>
  <r>
    <d v="2026-01-28T00:00:00"/>
    <s v="Valeria Valentina Palencia Amaya"/>
    <n v="1019146997"/>
    <x v="2"/>
    <s v="https://drive.google.com/drive/folders/1QJcgPPWO0QDT-UVD9alnP8bl_MSoHnpE?usp=sharing"/>
    <n v="3005436725"/>
    <x v="0"/>
    <s v="Bogotá"/>
    <s v="Bogotá"/>
    <s v="RCE_260131_37"/>
    <m/>
    <d v="2026-02-09T00:00:00"/>
    <s v="Sí"/>
    <s v="Equipo Técnico Territorial"/>
    <s v="No"/>
    <s v="Retirado"/>
    <m/>
    <s v="RCE_260131_37"/>
  </r>
  <r>
    <d v="2026-01-28T00:00:00"/>
    <s v="Claudia Juliana Cruz Castellanos"/>
    <n v="1022343913"/>
    <x v="2"/>
    <s v="https://drive.google.com/drive/folders/14njagqCfiyu81X7WcSzSebs5-wZeIHuS?usp=sharing"/>
    <n v="3123204069"/>
    <x v="0"/>
    <s v="Bogotá"/>
    <s v="Bogotá"/>
    <s v="RCE_260131_37"/>
    <m/>
    <d v="2026-02-09T00:00:00"/>
    <s v="Sí"/>
    <s v="Equipo Técnico Territorial"/>
    <s v="No"/>
    <s v="Retirado"/>
    <m/>
    <s v="RCE_260131_37"/>
  </r>
  <r>
    <d v="2026-01-28T00:00:00"/>
    <s v="Nycol Vanessa Cardenas Arias"/>
    <n v="1024589045"/>
    <x v="2"/>
    <s v="https://drive.google.com/drive/folders/1obErtsCRZzz67GwTcjwVwm6oBay_iA3D?usp=sharing"/>
    <n v="3016814820"/>
    <x v="0"/>
    <s v="Bogotá"/>
    <s v="Bogotá"/>
    <s v="RCE_260131_37"/>
    <m/>
    <d v="2026-02-09T00:00:00"/>
    <s v="Sí"/>
    <s v="Equipo Técnico Territorial"/>
    <s v="Sí"/>
    <s v="Activo"/>
    <m/>
    <s v="RCE_260131_37"/>
  </r>
  <r>
    <d v="2026-01-28T00:00:00"/>
    <s v="Jhon Daniel Londoño Martinez"/>
    <n v="1152460011"/>
    <x v="2"/>
    <s v="https://drive.google.com/drive/folders/1tN2n6B2r6BU_FVt9nHd1FzaUJAjBayTL?usp=sharing"/>
    <n v="3148617129"/>
    <x v="3"/>
    <s v="Antioquia"/>
    <e v="#REF!"/>
    <s v="RCE_260131_37"/>
    <m/>
    <d v="2026-02-09T00:00:00"/>
    <s v="Sí"/>
    <s v="Equipo Técnico Territorial"/>
    <s v="Sí"/>
    <s v="Activo"/>
    <m/>
    <s v="RCE_260131_37"/>
  </r>
  <r>
    <d v="2026-01-28T00:00:00"/>
    <s v="MILETH XIOMARA RINCON RAMIREZ"/>
    <n v="1234338768"/>
    <x v="2"/>
    <s v="https://drive.google.com/drive/folders/1Z0hSlrqZhD2W88FIvvFymAgp2vc3n9Jt?usp=sharing"/>
    <n v="3224498344"/>
    <x v="1"/>
    <s v="Arauca"/>
    <e v="#REF!"/>
    <s v="RCE_260131_37"/>
    <m/>
    <d v="2026-02-09T00:00:00"/>
    <s v="Sí"/>
    <s v="Equipo Técnico Territorial"/>
    <s v="Sí"/>
    <s v="Activo"/>
    <m/>
    <s v="RCE_260131_37"/>
  </r>
  <r>
    <s v="28/01/2026_x000a_20/02/2026"/>
    <s v="YENNY ESPERANZA ACUÑA ROA"/>
    <n v="1115736180"/>
    <x v="5"/>
    <s v="https://drive.google.com/drive/folders/1fWB8ucNNf8bl5-8tPFnxMh04eyL-oR5w?usp=drive_link"/>
    <n v="3214590315"/>
    <x v="1"/>
    <s v="Arauca"/>
    <s v="Arauquita"/>
    <s v="RCE_260131_37_x000a_ RCE_260227_66"/>
    <m/>
    <d v="2026-02-09T00:00:00"/>
    <s v="Sí"/>
    <s v="Equipo Nacional"/>
    <s v="Sí"/>
    <s v="Activo"/>
    <s v="RCE_260227_66"/>
    <s v="RCE_260131_37"/>
  </r>
  <r>
    <s v="28/01/2026_x000a_13/02/2026"/>
    <s v="SOLEDAD ACEVEDO RIZO"/>
    <n v="68246790"/>
    <x v="7"/>
    <s v="https://drive.google.com/drive/folders/1R4tYN1Au2VZ8Ncvt5sZks4ndqX9zK3IF"/>
    <n v="3144628351"/>
    <x v="0"/>
    <s v="Arauca"/>
    <e v="#REF!"/>
    <s v="RCE_260131_37_x000a_RCE_260217_55"/>
    <m/>
    <m/>
    <s v="Sí"/>
    <s v="Equipo Nacional"/>
    <s v="Sí"/>
    <s v="Activo"/>
    <m/>
    <s v="RCE_260131_37"/>
  </r>
  <r>
    <d v="2026-01-28T00:00:00"/>
    <s v="JOAHN ALEXANDER MORA SANTOS"/>
    <n v="1116791493"/>
    <x v="1"/>
    <s v="https://drive.google.com/drive/folders/1hPhXB7pSVDVOyi8MuZQdFRRyvs4aGdO9?usp=sharing"/>
    <n v="3208154057"/>
    <x v="1"/>
    <s v="Arauca"/>
    <e v="#REF!"/>
    <s v="RCE_260204_38"/>
    <m/>
    <d v="2026-02-09T00:00:00"/>
    <s v="Sí"/>
    <s v="Equipo Técnico Territorial"/>
    <s v="Sí"/>
    <s v="Activo"/>
    <m/>
    <m/>
  </r>
  <r>
    <d v="2026-01-28T00:00:00"/>
    <s v="JOHANA ANDREA PORRAS GOMEZ"/>
    <n v="1018435338"/>
    <x v="0"/>
    <s v="https://drive.google.com/drive/folders/1IO97CEVIaSevgAKGlZaPz3m1U3AyK43q?usp=sharing"/>
    <n v="3168704429"/>
    <x v="0"/>
    <s v="Bogotá"/>
    <s v="Bogotá"/>
    <s v="RCE_260204_38"/>
    <m/>
    <d v="2026-02-09T00:00:00"/>
    <s v="Sí"/>
    <s v="Equipo Técnico Territorial"/>
    <s v="Sí"/>
    <s v="Retirado"/>
    <m/>
    <m/>
  </r>
  <r>
    <d v="2026-01-28T00:00:00"/>
    <s v="JENNY ALEXANDRA SOLANO RAMÍREZ"/>
    <n v="52397234"/>
    <x v="2"/>
    <s v="https://drive.google.com/drive/folders/1pyZ6tAh-q4XEvDmmssIWx_PG0hNMTDJg?usp=sharing"/>
    <n v="3144212963"/>
    <x v="1"/>
    <s v="Casanare"/>
    <s v="Yopal"/>
    <s v="RCE_260204_38"/>
    <m/>
    <d v="2026-02-09T00:00:00"/>
    <s v="Sí"/>
    <s v="Equipo Técnico Territorial"/>
    <s v="No"/>
    <s v="En Base de Datos"/>
    <m/>
    <m/>
  </r>
  <r>
    <d v="2026-01-28T00:00:00"/>
    <s v="LIZETH PAOLA DURAN GRANADOS"/>
    <n v="1082872978"/>
    <x v="2"/>
    <s v="https://drive.google.com/drive/folders/13xfubWLdwC7QP5pXWv3zYcoIikh8v1cl?usp=sharing"/>
    <n v="3016625821"/>
    <x v="2"/>
    <s v="Magdalena"/>
    <s v="Santa Marta"/>
    <s v="RCE_260204_38"/>
    <m/>
    <d v="2026-02-09T00:00:00"/>
    <s v="Sí"/>
    <s v="Equipo Técnico Territorial"/>
    <s v="No"/>
    <s v="En Base de Datos"/>
    <m/>
    <m/>
  </r>
  <r>
    <d v="2026-01-28T00:00:00"/>
    <s v="GLORIA ALEXANDRA ORTIZ ROCHA"/>
    <n v="1020807325"/>
    <x v="1"/>
    <s v="https://drive.google.com/drive/folders/1px8uo38gBpZeWsmQ6sPMGrKJCupadQdq?usp=sharing"/>
    <n v="3212135768"/>
    <x v="4"/>
    <s v="Tolima"/>
    <s v="Ibagué"/>
    <s v="RCE_260204_38"/>
    <m/>
    <d v="2026-02-09T00:00:00"/>
    <s v="Sí"/>
    <s v="Equipo Técnico Territorial"/>
    <s v="No"/>
    <s v="En Base de Datos"/>
    <m/>
    <m/>
  </r>
  <r>
    <d v="2026-01-28T00:00:00"/>
    <s v="DANNY YAHIR NUÑEZ IBATA"/>
    <n v="79621971"/>
    <x v="1"/>
    <s v="https://drive.google.com/drive/folders/1pJERzjAMUDM_a6rIKchsnMjIS3FQBzTc?usp=sharing"/>
    <n v="5494902"/>
    <x v="0"/>
    <s v="Bogotá"/>
    <s v="Bogotá"/>
    <s v="RCE_260204_38"/>
    <m/>
    <d v="2026-02-09T00:00:00"/>
    <s v="Sí"/>
    <s v="Equipo Técnico Territorial"/>
    <s v="No"/>
    <s v="En Base de Datos"/>
    <s v="En proceso de contratación"/>
    <m/>
  </r>
  <r>
    <d v="2026-01-28T00:00:00"/>
    <s v="JOHNNY ALBEIRO CASTAÑEDA CASTAÑEDA"/>
    <n v="79951791"/>
    <x v="1"/>
    <s v=" https://drive.google.com/drive/folders/1i-8u178bLoErfwY7ii9T6JEJkZl6XPrH?usp=sharing"/>
    <n v="3152724744"/>
    <x v="0"/>
    <s v="Bogotá"/>
    <s v="Bogotá"/>
    <s v="RCE_260204_38"/>
    <m/>
    <d v="2026-02-09T00:00:00"/>
    <s v="Sí"/>
    <s v="Equipo Técnico Territorial"/>
    <s v="Sí"/>
    <s v="Activo"/>
    <m/>
    <m/>
  </r>
  <r>
    <d v="2026-01-28T00:00:00"/>
    <s v="JAVIER MAURICIO VALENCIA CHACUE"/>
    <n v="12280323"/>
    <x v="1"/>
    <s v="https://drive.google.com/drive/folders/1Y4B1XxqrOEIGLuRQ4QhGa80PL-_hgbGB?usp=sharing"/>
    <n v="3105722742"/>
    <x v="0"/>
    <s v="Putumayo"/>
    <s v="Puerto Asis"/>
    <s v="RCE_260204_38"/>
    <m/>
    <d v="2026-02-09T00:00:00"/>
    <s v="Sí"/>
    <s v="Equipo Técnico Territorial"/>
    <s v="Sí"/>
    <s v="Activo"/>
    <m/>
    <m/>
  </r>
  <r>
    <d v="2026-01-28T00:00:00"/>
    <s v="JUAN MANUEL CASTAÑEDA ISAZA"/>
    <n v="7303243"/>
    <x v="1"/>
    <s v="https://drive.google.com/drive/folders/1YwvDoQG6sbTocOPwNGMoLIpx9_p5NQmF?usp=sharing"/>
    <n v="3118514375"/>
    <x v="0"/>
    <s v="Bogotá"/>
    <s v="Bogotá"/>
    <s v="RCE_260204_38"/>
    <m/>
    <d v="2026-02-09T00:00:00"/>
    <s v="Sí"/>
    <s v="Equipo Técnico Territorial"/>
    <s v="No"/>
    <s v="En Base de Datos"/>
    <m/>
    <m/>
  </r>
  <r>
    <d v="2026-01-28T00:00:00"/>
    <s v="ANA MARIA MIRANDA NAVARRO"/>
    <n v="49793810"/>
    <x v="2"/>
    <s v="https://drive.google.com/drive/folders/1tapbEt-yL67Ja8kXqd8vVzKcMqEtwyEs?usp=sharing"/>
    <n v="3245608397"/>
    <x v="0"/>
    <s v="Bogotá"/>
    <s v="Bogotá"/>
    <s v="RCE_260204_38"/>
    <m/>
    <d v="2026-02-09T00:00:00"/>
    <s v="Sí"/>
    <s v="Equipo Técnico Territorial"/>
    <s v="No"/>
    <s v="En Base de Datos"/>
    <m/>
    <m/>
  </r>
  <r>
    <d v="2026-01-10T00:00:00"/>
    <s v="ANGIE PAOLA Quintero Espitia"/>
    <n v="1013682451"/>
    <x v="1"/>
    <s v="https://drive.google.com/drive/folders/1P44vY5T2aKbfNKLNXSsfqo_9kiRt3CaY?usp=sharing"/>
    <n v="3145670015"/>
    <x v="0"/>
    <s v="Bogotá"/>
    <s v="Bogotá"/>
    <s v="RCE_260205_39"/>
    <m/>
    <d v="2026-02-06T00:00:00"/>
    <s v="Sí"/>
    <s v="Equipo Técnico Territorial"/>
    <s v="No"/>
    <s v="En Base de Datos"/>
    <m/>
    <m/>
  </r>
  <r>
    <d v="2026-02-03T00:00:00"/>
    <s v="Harold Valencia Bermúdez"/>
    <n v="16495436"/>
    <x v="1"/>
    <s v="https://drive.google.com/drive/folders/1A4EkaJJ0PlEYzhu_7lNmP66BGF4ukJrW?usp=sharing"/>
    <n v="3165381347"/>
    <x v="3"/>
    <s v="Valle del cauca"/>
    <s v="Cali"/>
    <s v="RCE_260205_41"/>
    <m/>
    <d v="2026-02-09T00:00:00"/>
    <s v="Sí"/>
    <s v="Equipo Técnico Territorial"/>
    <s v="Sí"/>
    <s v="Activo"/>
    <m/>
    <m/>
  </r>
  <r>
    <d v="2026-02-03T00:00:00"/>
    <s v="María Teresa Duque González"/>
    <n v="51768106"/>
    <x v="1"/>
    <s v="https://drive.google.com/drive/folders/1cvrdWVlfnb2Ex5kDFCuDW0vVDuoEaVhh?usp=sharing"/>
    <s v="311 2310341"/>
    <x v="0"/>
    <s v="Huila"/>
    <s v="Neiva"/>
    <s v="RCE_260205_41"/>
    <m/>
    <d v="2026-02-09T00:00:00"/>
    <s v="Sí"/>
    <s v="Equipo Técnico Territorial"/>
    <s v="Sí"/>
    <s v="Activo"/>
    <m/>
    <m/>
  </r>
  <r>
    <d v="2026-02-03T00:00:00"/>
    <s v="Mauricio Montenegro Perafan"/>
    <n v="6804699"/>
    <x v="1"/>
    <s v="https://drive.google.com/drive/folders/1WBOyRIImocIit8THEQDqreQHZtd0oHvJ?usp=sharing"/>
    <n v="3156045259"/>
    <x v="0"/>
    <s v="Caquetá"/>
    <s v="Florencia"/>
    <s v="RCE_260205_41"/>
    <m/>
    <d v="2026-02-09T00:00:00"/>
    <s v="Sí"/>
    <s v="Equipo Técnico Territorial"/>
    <s v="Sí"/>
    <s v="Activo"/>
    <m/>
    <m/>
  </r>
  <r>
    <d v="2026-02-03T00:00:00"/>
    <s v="Cristian José Meza Cerra"/>
    <n v="1102826847"/>
    <x v="1"/>
    <s v="https://drive.google.com/drive/folders/1SSAnq4HUo1ekViaQLEucP_ClPyXBQqu4?usp=sharing"/>
    <s v="300 5333994"/>
    <x v="2"/>
    <s v="Sucre"/>
    <s v="Sincelejo"/>
    <s v="RCE_260205_41"/>
    <m/>
    <d v="2026-02-09T00:00:00"/>
    <s v="Sí"/>
    <s v="Equipo Técnico Territorial"/>
    <s v="Sí"/>
    <s v="Activo"/>
    <m/>
    <m/>
  </r>
  <r>
    <d v="2026-02-03T00:00:00"/>
    <s v="Andrés Felipe Gallo Ruiz"/>
    <n v="89004122"/>
    <x v="1"/>
    <s v="https://drive.google.com/drive/folders/10PZ0-ZpJBzGVEFu0RVVsjKHql9XOnfYO?usp=sharing"/>
    <n v="3124719301"/>
    <x v="4"/>
    <s v="Quindío"/>
    <s v="Armenia"/>
    <s v="RCE_260205_41"/>
    <m/>
    <d v="2026-02-09T00:00:00"/>
    <s v="Sí"/>
    <s v="Equipo Técnico Territorial"/>
    <s v="No"/>
    <s v="En Base de Datos"/>
    <s v="Esta en 2 comunicados, no aprobado"/>
    <m/>
  </r>
  <r>
    <d v="2026-02-03T00:00:00"/>
    <s v="Ana Cristina Lara Pulecio"/>
    <n v="1117535039"/>
    <x v="1"/>
    <s v="https://drive.google.com/drive/folders/1uupFcwXby-nl29YhJB1WaxAbi5VgZYdu?usp=sharing"/>
    <n v="3177073389"/>
    <x v="0"/>
    <s v="Caquetá"/>
    <e v="#REF!"/>
    <s v="RCE_260205_41"/>
    <m/>
    <d v="2026-02-10T00:00:00"/>
    <s v="Sí"/>
    <s v="Equipo Técnico Territorial"/>
    <s v="No"/>
    <s v="En Base de Datos"/>
    <m/>
    <m/>
  </r>
  <r>
    <d v="2026-02-03T00:00:00"/>
    <s v="Jenny Carolina Correa Prada"/>
    <n v="52880720"/>
    <x v="1"/>
    <s v="https://drive.google.com/drive/folders/1w3H7CCSaOcK7uZ4m2awYVl5vcikrA7BV?usp=sharing"/>
    <n v="3202201882"/>
    <x v="0"/>
    <s v="Bogotá"/>
    <s v="Bogotá"/>
    <s v="RCE_260205_41"/>
    <m/>
    <d v="2026-02-09T00:00:00"/>
    <s v="Sí"/>
    <s v="Equipo Técnico Territorial"/>
    <s v="No"/>
    <s v="En Base de Datos"/>
    <m/>
    <m/>
  </r>
  <r>
    <d v="2026-02-03T00:00:00"/>
    <s v="Lorena Mercedes Triviño Hernández"/>
    <n v="1079409209"/>
    <x v="1"/>
    <s v="https://drive.google.com/drive/folders/1ngl-dMNu6gHbecXOuMMeqk4qv0xuxEUP?usp=sharing"/>
    <n v="3123382373"/>
    <x v="2"/>
    <s v="Huila "/>
    <s v="Neiva"/>
    <s v="RCE_260205_41"/>
    <m/>
    <d v="2026-02-09T00:00:00"/>
    <s v="Sí"/>
    <s v="Equipo Técnico Territorial"/>
    <s v="Sí"/>
    <s v="Activo"/>
    <m/>
    <m/>
  </r>
  <r>
    <d v="2026-02-03T00:00:00"/>
    <s v="Andrea Del Pilar Conde Capera"/>
    <n v="1075217087"/>
    <x v="1"/>
    <s v="https://drive.google.com/drive/folders/11YjpHgwQg9fG3kJoi86HLkGSZzfbGVQv?usp=sharing"/>
    <s v="310 350 3297"/>
    <x v="0"/>
    <s v="Bogotá"/>
    <s v="Bogotá"/>
    <s v="RCE_260205_41"/>
    <m/>
    <d v="2026-02-09T00:00:00"/>
    <s v="Sí"/>
    <s v="Equipo Técnico Territorial"/>
    <s v="No"/>
    <s v="En Base de Datos"/>
    <m/>
    <m/>
  </r>
  <r>
    <d v="2026-02-03T00:00:00"/>
    <s v="Cesar Augusto Pulecio Méndez"/>
    <n v="17658138"/>
    <x v="1"/>
    <s v="https://drive.google.com/drive/folders/1ynm5SumEzw0K352f_i15M2ivRKzB0zb7?usp=sharing"/>
    <n v="3168231223"/>
    <x v="0"/>
    <s v="Caquetá"/>
    <s v="Florencia"/>
    <s v="RCE_260205_41"/>
    <m/>
    <d v="2026-02-09T00:00:00"/>
    <s v="Sí"/>
    <s v="Equipo Técnico Territorial"/>
    <s v="No"/>
    <s v="En Base de Datos"/>
    <m/>
    <m/>
  </r>
  <r>
    <d v="2026-02-03T00:00:00"/>
    <s v="John Wilmer Martínez Cruz"/>
    <n v="1051674009"/>
    <x v="1"/>
    <s v="https://drive.google.com/drive/folders/1p8-yNT8PDpZoTF5iUkjXaEEc06kXqhq9?usp=sharing"/>
    <n v="3017582488"/>
    <x v="0"/>
    <s v="Bogotá"/>
    <s v="Bogotá"/>
    <s v="RCE_260205_41"/>
    <m/>
    <d v="2026-02-09T00:00:00"/>
    <s v="Sí"/>
    <s v="Equipo Técnico Territorial"/>
    <s v="No"/>
    <s v="En Base de Datos"/>
    <m/>
    <m/>
  </r>
  <r>
    <d v="2026-02-03T00:00:00"/>
    <s v="Leina Carina Vitobis Alvira"/>
    <n v="55131081"/>
    <x v="1"/>
    <s v="https://drive.google.com/drive/folders/10zLWqSkdRn9XWAx6ji-lnKVh9ScLQRpu?usp=sharing"/>
    <n v="3203061315"/>
    <x v="0"/>
    <s v="Huila"/>
    <s v="Neiva"/>
    <s v="RCE_260205_41"/>
    <m/>
    <d v="2026-02-09T00:00:00"/>
    <s v="Sí"/>
    <s v="Equipo Técnico Territorial"/>
    <s v="No"/>
    <s v="En Base de Datos"/>
    <m/>
    <m/>
  </r>
  <r>
    <d v="2026-02-03T00:00:00"/>
    <s v="Delia Paola Murillo Cordoba"/>
    <n v="35893653"/>
    <x v="1"/>
    <s v="https://drive.google.com/drive/folders/1JBdoNbs4TbwS5GVJrzmPDbPETL4y-KIT?usp=sharing"/>
    <n v="3207757239"/>
    <x v="3"/>
    <s v="Chocó"/>
    <s v="Quibdó"/>
    <s v="RCE_260205_41"/>
    <m/>
    <d v="2026-02-09T00:00:00"/>
    <s v="Sí"/>
    <s v="Equipo Técnico Territorial"/>
    <s v="No"/>
    <s v="En Base de Datos"/>
    <m/>
    <m/>
  </r>
  <r>
    <d v="2026-02-03T00:00:00"/>
    <s v="Martha Liliana Escobar"/>
    <n v="26470893"/>
    <x v="1"/>
    <s v="https://drive.google.com/drive/folders/16oNEi7fdCN6MTgV_J4B59ZcWLt9swAvF?usp=sharing"/>
    <n v="3152636759"/>
    <x v="2"/>
    <s v="Huila"/>
    <s v="Tesalia"/>
    <s v="RCE_260205_41"/>
    <m/>
    <d v="2026-02-09T00:00:00"/>
    <s v="Sí"/>
    <s v="Equipo Técnico Territorial"/>
    <s v="No"/>
    <s v="En Base de Datos"/>
    <m/>
    <m/>
  </r>
  <r>
    <d v="2026-02-03T00:00:00"/>
    <s v="Maira Vasquez Rivera"/>
    <n v="64705153"/>
    <x v="2"/>
    <s v="https://drive.google.com/drive/folders/1yu_7-hHLLZsy5wE2qdkD8Wo4Tx3dsQHq?usp=sharing"/>
    <n v="3208976411"/>
    <x v="0"/>
    <s v="Meta"/>
    <s v="Granada"/>
    <s v="RCE_260205_41"/>
    <m/>
    <d v="2026-02-09T00:00:00"/>
    <s v="Sí"/>
    <s v="Equipo Técnico Territorial"/>
    <s v="No"/>
    <s v="En Base de Datos"/>
    <m/>
    <m/>
  </r>
  <r>
    <d v="2026-02-03T00:00:00"/>
    <s v="Leidy Katherine Peña Morales"/>
    <n v="1022386793"/>
    <x v="2"/>
    <s v="https://drive.google.com/drive/folders/1FECXl1ubJOJVdZ6UAUt69pWq_zGgRSx0?usp=sharing"/>
    <s v="321 3251461"/>
    <x v="0"/>
    <s v="Bogotá"/>
    <s v="Bogotá"/>
    <s v="RCE_260205_41"/>
    <m/>
    <d v="2026-02-09T00:00:00"/>
    <s v="Sí"/>
    <s v="Equipo Técnico Territorial"/>
    <s v="No"/>
    <s v="En Base de Datos"/>
    <m/>
    <m/>
  </r>
  <r>
    <d v="2026-02-03T00:00:00"/>
    <s v="Viviana Baquero Castellanos"/>
    <n v="53154152"/>
    <x v="1"/>
    <s v="https://drive.google.com/drive/folders/112kbjkEfHkMyZpKVD0rlqb_HlLft_zok?usp=sharing"/>
    <n v="3112112428"/>
    <x v="0"/>
    <s v="Bogotá"/>
    <s v="Bogotá"/>
    <s v="RCE_260205_41_x000a_RCE_260206_43"/>
    <m/>
    <d v="2026-02-09T00:00:00"/>
    <s v="Sí"/>
    <s v="Equipo Técnico Territorial"/>
    <s v="No"/>
    <s v="En Base de Datos"/>
    <m/>
    <m/>
  </r>
  <r>
    <d v="2026-02-03T00:00:00"/>
    <s v="Erney Rosero Lagos"/>
    <n v="12264698"/>
    <x v="1"/>
    <s v="https://drive.google.com/drive/folders/1oXtMvDI-Gy2KiwMcp3Y3ZHmQtI5CSfu-?usp=sharing"/>
    <n v="3115324571"/>
    <x v="3"/>
    <s v="Putumayo"/>
    <s v="Puerto Asis"/>
    <s v="RCE_260206_43"/>
    <m/>
    <d v="2026-02-10T00:00:00"/>
    <s v="Sí"/>
    <s v="Equipo Técnico Territorial"/>
    <s v="Sí"/>
    <s v="Activo"/>
    <m/>
    <m/>
  </r>
  <r>
    <d v="2026-02-03T00:00:00"/>
    <s v="Mary Luz Duarte Garzon"/>
    <n v="1019022042"/>
    <x v="2"/>
    <s v="https://drive.google.com/drive/folders/15BqFMGheaTPQ2HtfgfactbwGDHdAaiSQ?usp=sharing"/>
    <s v="3163819178 - 3150667131"/>
    <x v="0"/>
    <s v="Bogotá"/>
    <s v="Bogotá"/>
    <s v="RCE_260206_43"/>
    <m/>
    <d v="2026-02-10T00:00:00"/>
    <s v="Sí"/>
    <s v="Equipo Técnico Territorial"/>
    <s v="No"/>
    <s v="En Base de Datos"/>
    <m/>
    <m/>
  </r>
  <r>
    <d v="2026-02-03T00:00:00"/>
    <s v="Jenny Carolina Martínez Beltran"/>
    <n v="52821012"/>
    <x v="1"/>
    <s v="https://drive.google.com/drive/folders/1_urQBMNqIym7LEGV6bODfKYzgWrTScPA?usp=sharing"/>
    <s v="312 3270016"/>
    <x v="0"/>
    <s v="Bogotá"/>
    <s v="Bogotá"/>
    <s v="RCE_260209_45"/>
    <m/>
    <d v="2026-02-10T00:00:00"/>
    <s v="Sí"/>
    <s v="Equipo Técnico Territorial"/>
    <s v="No"/>
    <s v="En Base de Datos"/>
    <m/>
    <m/>
  </r>
  <r>
    <d v="2026-02-03T00:00:00"/>
    <s v="Jhon Edison Chaparro Cetina"/>
    <n v="1049603437"/>
    <x v="1"/>
    <s v="https://drive.google.com/drive/folders/1f-v1MTq8p325a4DTWegQSFax1kMMSCXc?usp=sharing"/>
    <n v="3153024391"/>
    <x v="1"/>
    <s v="Boyacá"/>
    <s v="Tunja"/>
    <s v="RCE_260209_45"/>
    <m/>
    <d v="2026-02-10T00:00:00"/>
    <s v="Sí"/>
    <s v="Equipo Técnico Territorial"/>
    <s v="Sí"/>
    <s v="Activo"/>
    <s v="Contratado 20-Feb"/>
    <m/>
  </r>
  <r>
    <d v="2026-02-03T00:00:00"/>
    <s v="Jaime Eduardo Díaz Jaime"/>
    <n v="74244802"/>
    <x v="1"/>
    <s v="https://drive.google.com/drive/folders/1olR6WTaO_mWL9WtjpDgwZ1crS63x_iCo?usp=sharing"/>
    <s v="313 236 7713"/>
    <x v="1"/>
    <s v="Santander"/>
    <s v="Oiba"/>
    <s v="RCE_260209_45"/>
    <m/>
    <d v="2026-02-10T00:00:00"/>
    <s v="Sí"/>
    <s v="Equipo Técnico Territorial"/>
    <s v="Sí"/>
    <s v="Retirado"/>
    <s v="Retirado 17/02/2026"/>
    <m/>
  </r>
  <r>
    <d v="2026-02-03T00:00:00"/>
    <s v="Diana Chavarro Rodríguez"/>
    <n v="1032397672"/>
    <x v="2"/>
    <s v="https://drive.google.com/drive/folders/1zLfPmSFFE4dm4kRbteYAFEo5L33zWgNa?usp=sharing"/>
    <n v="3192339761"/>
    <x v="0"/>
    <s v="Bogotá"/>
    <s v="Bogotá"/>
    <s v="RCE_260209_45"/>
    <m/>
    <d v="2026-02-10T00:00:00"/>
    <s v="Sí"/>
    <s v="Equipo Técnico Territorial"/>
    <s v="No"/>
    <s v="En Base de Datos"/>
    <m/>
    <m/>
  </r>
  <r>
    <d v="2026-02-03T00:00:00"/>
    <s v="Javier Ortiz Rodríguez"/>
    <n v="1057591703"/>
    <x v="2"/>
    <s v="https://drive.google.com/drive/folders/1lq9aDNtHm6RCEjfKJq7Ypu7GsXEBGe0v?usp=sharing"/>
    <n v="3194067749"/>
    <x v="3"/>
    <s v="Antioquia"/>
    <e v="#REF!"/>
    <s v="RCE_260209_45"/>
    <m/>
    <d v="2026-02-10T00:00:00"/>
    <s v="Sí"/>
    <s v="Equipo Técnico Territorial"/>
    <s v="No"/>
    <s v="En Base de Datos"/>
    <m/>
    <m/>
  </r>
  <r>
    <d v="2026-02-03T00:00:00"/>
    <s v="José Eduardo Jiménez Patiño"/>
    <n v="1110512462"/>
    <x v="2"/>
    <s v="https://drive.google.com/drive/folders/1FszRGSfXIeGm1nthCJN9iLvdniRQfh3i?usp=sharing"/>
    <n v="3202601023"/>
    <x v="4"/>
    <s v="Tolima"/>
    <s v="Ibagué"/>
    <s v="RCE_260209_45"/>
    <m/>
    <d v="2026-02-10T00:00:00"/>
    <s v="Sí"/>
    <s v="Equipo Técnico Territorial"/>
    <s v="No"/>
    <s v="En Base de Datos"/>
    <m/>
    <m/>
  </r>
  <r>
    <d v="2026-02-03T00:00:00"/>
    <s v="Johan Hernando Urrea Monsalve"/>
    <n v="1110552706"/>
    <x v="5"/>
    <s v="https://drive.google.com/drive/folders/1r72FZElyJbFjUI6qb5szSwdQ_FmLMR1o?usp=sharing"/>
    <s v="313 312 9536"/>
    <x v="4"/>
    <s v="Tolima"/>
    <s v="Ibagué"/>
    <s v="RCE_260209_45"/>
    <m/>
    <d v="2026-02-09T00:00:00"/>
    <s v="Sí"/>
    <s v="Equipo Nacional"/>
    <s v="No"/>
    <s v="En Base de Datos"/>
    <m/>
    <m/>
  </r>
  <r>
    <d v="2026-02-03T00:00:00"/>
    <s v="Luz Andrea Sotelo Trujillo"/>
    <n v="52341322"/>
    <x v="5"/>
    <s v="https://drive.google.com/drive/folders/1soknvNchjAA60zmgoQXXv_EPJCh4I8yA?usp=sharing"/>
    <n v="3057884069"/>
    <x v="0"/>
    <s v="Bogotá"/>
    <s v="Bogotá"/>
    <s v="RCE_260209_45"/>
    <m/>
    <d v="2026-02-10T00:00:00"/>
    <s v="Sí"/>
    <s v="Equipo Nacional"/>
    <s v="No"/>
    <s v="En Base de Datos"/>
    <m/>
    <m/>
  </r>
  <r>
    <d v="2026-02-03T00:00:00"/>
    <s v="Juan Diego Rodríguez Monroy"/>
    <n v="1012323988"/>
    <x v="5"/>
    <s v="https://drive.google.com/drive/folders/1Li3-nEcnj1A3z3pbiReACYatTFHY6ZFv?usp=sharing"/>
    <s v="322 711 3012"/>
    <x v="0"/>
    <s v="Bogotá"/>
    <s v="Bogotá"/>
    <s v="RCE_260209_45"/>
    <m/>
    <d v="2026-02-10T00:00:00"/>
    <s v="Sí"/>
    <s v="Equipo Nacional"/>
    <s v="Sí"/>
    <s v="Activo"/>
    <m/>
    <m/>
  </r>
  <r>
    <d v="2026-02-03T00:00:00"/>
    <s v="Carol Santos Castro"/>
    <n v="1023894108"/>
    <x v="2"/>
    <s v="https://drive.google.com/drive/folders/1Dvvp5n-7LkLC8RouXxSmFrW9R48D5lsT?usp=sharing "/>
    <n v="3102763192"/>
    <x v="0"/>
    <s v="Bogotá"/>
    <s v="Bogotá"/>
    <s v="RCE_260210_46"/>
    <s v="RCE_260209_44"/>
    <d v="2026-02-10T00:00:00"/>
    <s v="Sí"/>
    <s v="Equipo Técnico Territorial"/>
    <s v="No"/>
    <s v="En Base de Datos"/>
    <m/>
    <m/>
  </r>
  <r>
    <d v="2026-02-03T00:00:00"/>
    <s v="Cristian David Gaviria Mosquera"/>
    <n v="1061811984"/>
    <x v="7"/>
    <s v="https://drive.google.com/drive/folders/1ipZcBlp-Bv2r0WTXlvQA9bTmh1Fs04Vi?usp=sharing "/>
    <n v="3132467922"/>
    <x v="3"/>
    <s v="Cauca"/>
    <s v="Popayán"/>
    <s v="RCE_260210_46"/>
    <s v="RCE_260209_44"/>
    <d v="2026-02-10T00:00:00"/>
    <s v="Sí"/>
    <s v="Equipo Nacional"/>
    <s v="No"/>
    <s v="En Base de Datos"/>
    <m/>
    <m/>
  </r>
  <r>
    <d v="2026-02-03T00:00:00"/>
    <s v="Sandra Liliana Arteaga Briñez"/>
    <n v="40774284"/>
    <x v="1"/>
    <s v="https://drive.google.com/drive/folders/1v1XkFDu-NpYU-cIhiYKl2j9Lezr8XYeD?usp=sharing"/>
    <n v="3124345760"/>
    <x v="1"/>
    <s v="Casanare"/>
    <s v="Yopal"/>
    <s v="RCE_260210_46"/>
    <m/>
    <m/>
    <s v="Sí"/>
    <s v="Equipo Técnico Territorial"/>
    <s v="Sí"/>
    <m/>
    <m/>
    <m/>
  </r>
  <r>
    <d v="2026-02-03T00:00:00"/>
    <s v="Jesus Gustavo Martinez graffe"/>
    <n v="1122731646"/>
    <x v="1"/>
    <s v="https://drive.google.com/drive/folders/1McuhEbtIdL9vK3qyMZDriaWvISMA13Yj?usp=sharing"/>
    <n v="3104561430"/>
    <x v="3"/>
    <s v="Putumayo"/>
    <s v="Puerto Leguízamo"/>
    <s v="RCE_260210_46"/>
    <m/>
    <m/>
    <s v="Sí"/>
    <s v="Equipo Técnico Territorial"/>
    <s v="Sí"/>
    <m/>
    <m/>
    <m/>
  </r>
  <r>
    <d v="2026-01-28T00:00:00"/>
    <s v="Lucy Angélica Solano Garces"/>
    <n v="1061819481"/>
    <x v="1"/>
    <s v="https://drive.google.com/drive/folders/136R8eK4W6uZ6z5WwPA1GEQnEDfGYGBut?usp=sharing"/>
    <n v="3126584780"/>
    <x v="0"/>
    <s v="Cauca"/>
    <e v="#REF!"/>
    <s v="RCE_260211_49"/>
    <s v="RCE_260131_36"/>
    <d v="2026-02-09T00:00:00"/>
    <s v="Sí"/>
    <s v="Equipo Técnico Territorial"/>
    <s v="Sí"/>
    <s v="Activo"/>
    <s v="Como Gestor 20-Feb"/>
    <s v="RCE_260211_49"/>
  </r>
  <r>
    <d v="2026-01-28T00:00:00"/>
    <s v="Lizeth Johanna Cano Muñoz"/>
    <n v="1110481286"/>
    <x v="1"/>
    <s v="https://drive.google.com/drive/folders/1FofHc1FB5t031jebH_UwtEL-9gQNLe2p?usp=sharing"/>
    <n v="3145284729"/>
    <x v="3"/>
    <s v="Antioquia"/>
    <e v="#REF!"/>
    <s v="RCE_260211_49"/>
    <s v="RCE_260131_36"/>
    <d v="2026-02-09T00:00:00"/>
    <s v="Sí"/>
    <s v="Equipo Técnico Territorial"/>
    <s v="No"/>
    <s v="En Base de Datos"/>
    <s v="En proceso de contratación"/>
    <m/>
  </r>
  <r>
    <d v="2026-02-09T00:00:00"/>
    <s v="Patricia Sandoval Manrique"/>
    <n v="34568952"/>
    <x v="1"/>
    <s v="https://drive.google.com/drive/folders/1QaMuw3Gu2X8JSqp_v3kjn9AQ19A3Rl1d?usp=sharing"/>
    <s v="3128973438 - 3117233995"/>
    <x v="3"/>
    <s v="Cauca"/>
    <s v="Mercaderes"/>
    <s v="RCE_260211_49"/>
    <m/>
    <d v="2026-02-19T00:00:00"/>
    <s v="Sí"/>
    <s v="Equipo Técnico Territorial"/>
    <s v="Sí"/>
    <s v="Activo"/>
    <s v="Contratado 20-Feb"/>
    <m/>
  </r>
  <r>
    <d v="2026-02-09T00:00:00"/>
    <s v="Leiner Arizala Guerrero"/>
    <n v="1087189695"/>
    <x v="1"/>
    <s v="https://drive.google.com/drive/folders/1LGSAlQfESOzjk6loen21h7owF-kpnYHj?usp=sharing"/>
    <n v="3217132452"/>
    <x v="3"/>
    <s v="Nariño"/>
    <s v="San Andrés de Tumaco"/>
    <s v="RCE_260211_49"/>
    <m/>
    <d v="2026-02-19T00:00:00"/>
    <s v="Sí"/>
    <s v="Equipo Técnico Territorial"/>
    <s v="No"/>
    <s v="En Base de Datos"/>
    <m/>
    <m/>
  </r>
  <r>
    <d v="2026-02-09T00:00:00"/>
    <s v="Guillermo Hernan Acevedo Rodriguez"/>
    <n v="79451771"/>
    <x v="1"/>
    <s v="https://drive.google.com/drive/folders/1F7ORw9kn9QejR-Ys1QPjvin9mj8wV-Qs?usp=sharing"/>
    <n v="3002913920"/>
    <x v="0"/>
    <s v="Bogotá"/>
    <s v="Bogotá"/>
    <s v="RCE_260211_49"/>
    <m/>
    <d v="2026-02-19T00:00:00"/>
    <s v="Sí"/>
    <s v="Equipo Técnico Territorial"/>
    <s v="No"/>
    <s v="En Base de Datos"/>
    <s v="No fue posible contratación, no contestó"/>
    <m/>
  </r>
  <r>
    <d v="2026-02-09T00:00:00"/>
    <s v="Yolanda Maricela Anaguano Cuaspa"/>
    <n v="1086755543"/>
    <x v="1"/>
    <s v="https://drive.google.com/drive/folders/1rCSt0-uMtOsCpPJy8t66QfaQnXlHDDvj?usp=sharing"/>
    <n v="3155249955"/>
    <x v="3"/>
    <s v="Nariño"/>
    <s v="San juan de pasto"/>
    <s v="RCE_260211_49"/>
    <m/>
    <d v="2026-02-19T00:00:00"/>
    <s v="Sí"/>
    <s v="Equipo Técnico Territorial"/>
    <s v="Sí"/>
    <s v="Activo"/>
    <s v="Contratado 20-Feb"/>
    <m/>
  </r>
  <r>
    <d v="2026-02-09T00:00:00"/>
    <s v="OLGA LUCÍA VEGA MONROY"/>
    <n v="47429349"/>
    <x v="1"/>
    <s v="https://drive.google.com/drive/folders/1-5YH8EF9wPzCJpuSgMIyG839Wr589utg?usp=sharing"/>
    <s v="314-2494134"/>
    <x v="1"/>
    <s v="Casanare"/>
    <s v="Yopal"/>
    <s v="RCE_260211_49"/>
    <m/>
    <d v="2026-02-19T00:00:00"/>
    <s v="Sí"/>
    <s v="Equipo Técnico Territorial"/>
    <s v="No"/>
    <s v="En Base de Datos"/>
    <m/>
    <m/>
  </r>
  <r>
    <d v="2026-02-09T00:00:00"/>
    <s v="ANGELA DANIELA SÁNCHEZ RUIZ"/>
    <n v="1085275813"/>
    <x v="1"/>
    <s v="https://drive.google.com/drive/folders/1vJ_6xryEugBoZEvWV1zfYJQ4o-kSf1Ja?usp=sharing"/>
    <n v="3113630778"/>
    <x v="3"/>
    <s v="Nariño"/>
    <s v="Pasto"/>
    <s v="RCE_260211_49"/>
    <m/>
    <d v="2026-02-16T00:00:00"/>
    <s v="Sí"/>
    <s v="Equipo Técnico Territorial"/>
    <s v="No"/>
    <s v="En Base de Datos"/>
    <m/>
    <m/>
  </r>
  <r>
    <d v="2026-02-09T00:00:00"/>
    <s v="REINALDO PEREZ DAZA"/>
    <n v="77033136"/>
    <x v="1"/>
    <s v="https://drive.google.com/drive/folders/1lnyQ_15_kMFP_Qa28XlozrJx5ZIMGjId?usp=sharing"/>
    <n v="3167650472"/>
    <x v="2"/>
    <s v="Cesar"/>
    <e v="#REF!"/>
    <s v="RCE_260211_49"/>
    <m/>
    <d v="2026-02-19T00:00:00"/>
    <s v="Sí"/>
    <s v="Equipo Técnico Territorial"/>
    <s v="No"/>
    <s v="En Base de Datos"/>
    <m/>
    <m/>
  </r>
  <r>
    <d v="2026-02-09T00:00:00"/>
    <s v="Kevin Yair Díaz Rodríguez"/>
    <n v="106788000"/>
    <x v="1"/>
    <s v="https://drive.google.com/drive/folders/1tK8BhrR8mQMCJn0zW9maoaow0ed5eO4Z?usp=sharing"/>
    <s v="304 3507998"/>
    <x v="2"/>
    <s v="Córdoba"/>
    <s v="Montería"/>
    <s v="RCE_260211_49"/>
    <m/>
    <d v="2026-02-19T00:00:00"/>
    <s v="Sí"/>
    <s v="Equipo Técnico Territorial"/>
    <s v="Sí"/>
    <s v="Activo"/>
    <s v="Contratado 20-Feb"/>
    <m/>
  </r>
  <r>
    <d v="2026-02-09T00:00:00"/>
    <s v="Luis Sebastian Sanabria Silva"/>
    <n v="1120373131"/>
    <x v="1"/>
    <s v="https://drive.google.com/drive/folders/1HICNpW9QHTleLNuxawt1d5jfn-Qm1H3n?usp=sharing"/>
    <s v="3008533923 - 3112706253"/>
    <x v="0"/>
    <s v="Meta"/>
    <s v="Granada"/>
    <s v="RCE_260211_49"/>
    <m/>
    <d v="2026-02-19T00:00:00"/>
    <s v="Sí"/>
    <s v="Equipo Técnico Territorial"/>
    <s v="No"/>
    <s v="En Base de Datos"/>
    <m/>
    <m/>
  </r>
  <r>
    <d v="2026-02-09T00:00:00"/>
    <s v="JUANA JUDITH BUELVAS GUERRERO"/>
    <n v="49773306"/>
    <x v="1"/>
    <s v="https://drive.google.com/drive/folders/1hq80H0N3WgY671Kp7S-upJdlcdHw8QCf?usp=sharing"/>
    <s v="3004040910 - 3224325832"/>
    <x v="2"/>
    <s v="Cesar"/>
    <s v="Valledupar"/>
    <s v="RCE_260211_49"/>
    <m/>
    <d v="2026-02-19T00:00:00"/>
    <s v="Sí"/>
    <s v="Equipo Técnico Territorial"/>
    <s v="Sí"/>
    <s v="Activo"/>
    <s v="Contratado 20-Feb"/>
    <m/>
  </r>
  <r>
    <d v="2026-02-09T00:00:00"/>
    <s v="HANNER JEFFERSON CARDENAS GONZALEZ"/>
    <n v="1121857939"/>
    <x v="1"/>
    <s v="https://drive.google.com/drive/folders/1OiC82OZG_FyvG9esm7XI9qO4Zk91tp5T?usp=sharing"/>
    <n v="3153351330"/>
    <x v="0"/>
    <s v="Meta"/>
    <s v="Granada"/>
    <s v="RCE_260211_49"/>
    <m/>
    <d v="2026-02-19T00:00:00"/>
    <s v="Sí"/>
    <s v="Equipo Técnico Territorial"/>
    <s v="Sí"/>
    <s v="Activo"/>
    <s v="Contratado 20-Feb"/>
    <m/>
  </r>
  <r>
    <d v="2026-02-09T00:00:00"/>
    <s v="Deisy Liliana Viveros Castillo"/>
    <n v="1087109934"/>
    <x v="1"/>
    <s v="https://drive.google.com/drive/folders/1GdJn3R5Ccs5qzSFTLJuE1BvBlBEBglVj?usp=sharing"/>
    <n v="3154099364"/>
    <x v="3"/>
    <s v="Nariño"/>
    <e v="#REF!"/>
    <s v="RCE_260211_49"/>
    <m/>
    <d v="2026-02-19T00:00:00"/>
    <s v="Sí"/>
    <s v="Equipo Técnico Territorial"/>
    <s v="No"/>
    <s v="En Base de Datos"/>
    <m/>
    <m/>
  </r>
  <r>
    <d v="2026-02-09T00:00:00"/>
    <s v="DIEGO ALEJANDRO TURCO DIAZ"/>
    <n v="1072656396"/>
    <x v="2"/>
    <s v="https://drive.google.com/drive/folders/1Q9LUZcznKMuex4Q6r-7sduUASe4KsBXW?usp=sharing"/>
    <n v="3108080970"/>
    <x v="4"/>
    <s v="Bogotá"/>
    <s v="Bogotá"/>
    <s v="RCE_260211_49"/>
    <m/>
    <d v="2026-02-19T00:00:00"/>
    <s v="Sí"/>
    <s v="Equipo Técnico Territorial"/>
    <s v="No"/>
    <s v="En Base de Datos"/>
    <m/>
    <m/>
  </r>
  <r>
    <d v="2026-02-09T00:00:00"/>
    <s v="DIEGO FERNANDO GONZALEZ AMORTEGUI"/>
    <n v="1110545088"/>
    <x v="2"/>
    <s v="https://drive.google.com/drive/folders/1uqPcMnqAmTAW6HUkf7FBHrUf_LiYFBOK?usp=sharing"/>
    <s v="310 889 5806"/>
    <x v="0"/>
    <s v="Bogotá"/>
    <s v="Bogotá"/>
    <s v="RCE_260211_49"/>
    <m/>
    <d v="2026-02-19T00:00:00"/>
    <s v="Sí"/>
    <s v="Equipo Técnico Territorial"/>
    <s v="No"/>
    <s v="En Base de Datos"/>
    <m/>
    <m/>
  </r>
  <r>
    <d v="2026-02-09T00:00:00"/>
    <s v="Cristian Fabian Cruz Anachury"/>
    <n v="1047477381"/>
    <x v="2"/>
    <s v="https://drive.google.com/drive/folders/13JvicLmkeF1XVxoika-9vjr8MOJyB2yP?usp=sharing"/>
    <n v="3145931266"/>
    <x v="2"/>
    <s v="Bolívar"/>
    <s v="Cartagena"/>
    <s v="RCE_260211_49"/>
    <m/>
    <d v="2026-02-19T00:00:00"/>
    <s v="Sí"/>
    <s v="Equipo Técnico Territorial"/>
    <s v="No"/>
    <s v="En Base de Datos"/>
    <m/>
    <m/>
  </r>
  <r>
    <d v="2026-02-09T00:00:00"/>
    <s v="Angela Maria Uribe Copete"/>
    <n v="43867460"/>
    <x v="2"/>
    <s v="https://drive.google.com/drive/folders/15-CGsIdOSlS-rzQYx7dFnYuJ3-MB1NvT?usp=sharing"/>
    <s v="304 580 77 07"/>
    <x v="3"/>
    <s v="Antioquia"/>
    <e v="#REF!"/>
    <s v="RCE_260211_49"/>
    <m/>
    <d v="2026-02-19T00:00:00"/>
    <s v="Sí"/>
    <s v="Equipo Técnico Territorial"/>
    <s v="No"/>
    <s v="En Base de Datos"/>
    <m/>
    <m/>
  </r>
  <r>
    <d v="2026-02-09T00:00:00"/>
    <s v="MARIA LUISA GIL RESTREPO"/>
    <n v="2358332"/>
    <x v="2"/>
    <s v="https://drive.google.com/drive/folders/1S07Pv3QXyux5CD1bchUhLSo8kCxB_cix?usp=sharing"/>
    <s v="3146915795 - 3159046950"/>
    <x v="2"/>
    <s v="Atlántico"/>
    <s v="Barranquilla"/>
    <s v="RCE_260211_49"/>
    <m/>
    <d v="2026-02-19T00:00:00"/>
    <s v="Sí"/>
    <s v="Equipo Técnico Territorial"/>
    <s v="No"/>
    <s v="En Base de Datos"/>
    <m/>
    <m/>
  </r>
  <r>
    <d v="2026-02-09T00:00:00"/>
    <s v="MAYERLY ANDREA SOLANO AGUILLÓN"/>
    <n v="1005065097"/>
    <x v="5"/>
    <s v="https://drive.google.com/drive/folders/1c3bmg3GsXC2BnLKY5wEFgO7u8FmZtMYN?usp=sharing "/>
    <s v="314-5595453"/>
    <x v="1"/>
    <s v="Arauca"/>
    <s v="Saravena"/>
    <s v="RCE_260211_49"/>
    <m/>
    <d v="2026-02-19T00:00:00"/>
    <s v="Sí"/>
    <s v="Equipo Nacional"/>
    <s v="Sí"/>
    <s v="Activo"/>
    <m/>
    <m/>
  </r>
  <r>
    <d v="2026-02-09T00:00:00"/>
    <s v="Joisse Smith Lopez Sanchez"/>
    <n v="1124990998"/>
    <x v="1"/>
    <s v="https://drive.google.com/drive/folders/1F4fubf8AgJDMns7mE43j8LtLqCXl1MLf?usp=sharing"/>
    <n v="3106774581"/>
    <x v="0"/>
    <s v="Vichada"/>
    <s v="Puerto Carreño"/>
    <s v="RCE_260212_50"/>
    <m/>
    <d v="2026-02-19T00:00:00"/>
    <s v="Sí"/>
    <s v="Equipo Técnico Territorial"/>
    <s v="No"/>
    <s v="En Base de Datos"/>
    <m/>
    <m/>
  </r>
  <r>
    <d v="2026-02-09T00:00:00"/>
    <s v="Juan Carlos Correa Mendez"/>
    <n v="18262113"/>
    <x v="1"/>
    <s v="https://drive.google.com/drive/folders/1rFL0ZTTKgAstjRWhKfPY43Wx7tQJRDVT?usp=sharing"/>
    <n v="3107855175"/>
    <x v="0"/>
    <s v="Vichada"/>
    <s v="Puerto Carreño"/>
    <s v="RCE_260212_50"/>
    <m/>
    <d v="2026-02-19T00:00:00"/>
    <s v="Sí"/>
    <s v="Equipo Técnico Territorial"/>
    <s v="Sí"/>
    <s v="Activo"/>
    <s v="Contratado 20-Feb"/>
    <m/>
  </r>
  <r>
    <d v="2026-02-09T00:00:00"/>
    <s v="JUAN PABLO CARRILLO CETINA"/>
    <n v="1121894968"/>
    <x v="1"/>
    <s v="https://drive.google.com/drive/folders/1uXY16lHIpkzB7J2A-XIovxQ203fxgQos"/>
    <n v="3208143473"/>
    <x v="0"/>
    <s v="Meta"/>
    <s v="Villavicencio"/>
    <s v="RCE_260212_50"/>
    <m/>
    <d v="2026-02-19T00:00:00"/>
    <s v="Sí"/>
    <s v="Equipo Técnico Territorial"/>
    <s v="Sí"/>
    <s v="Activo"/>
    <s v="Contratado 20-Feb"/>
    <m/>
  </r>
  <r>
    <d v="2026-02-09T00:00:00"/>
    <s v="CLAUDIA PATRICIA CABRERA TORDECILLA"/>
    <n v="39417710"/>
    <x v="1"/>
    <s v="https://drive.google.com/drive/folders/1UhCLl72ytuVseaE5xZC8SsIrE19Oz6OK?usp=sharing"/>
    <s v="3154681386-3216399536"/>
    <x v="3"/>
    <s v="Antioquia"/>
    <s v="La Estrella"/>
    <s v="RCE_260212_50"/>
    <m/>
    <d v="2026-02-19T00:00:00"/>
    <s v="Sí"/>
    <s v="Equipo Técnico Territorial"/>
    <s v="No"/>
    <s v="En Base de Datos"/>
    <m/>
    <m/>
  </r>
  <r>
    <d v="2026-02-09T00:00:00"/>
    <s v="Frank Alexis Solorzano Camacho"/>
    <n v="79703448"/>
    <x v="1"/>
    <s v="https://drive.google.com/drive/folders/1fAVgGJo_edCkw4aHcqW-wkogoo04NW4Z?usp=sharing"/>
    <n v="3175029500"/>
    <x v="4"/>
    <s v="Cundinamarca"/>
    <s v="Funza"/>
    <s v="RCE_260212_50"/>
    <m/>
    <d v="2026-02-19T00:00:00"/>
    <s v="Sí"/>
    <s v="Equipo Técnico Territorial"/>
    <s v="Sí"/>
    <s v="Activo"/>
    <s v="Contratado 20-Feb"/>
    <m/>
  </r>
  <r>
    <d v="2026-02-09T00:00:00"/>
    <s v="Zully Solarte Cordoba"/>
    <n v="1061689940"/>
    <x v="1"/>
    <s v="https://drive.google.com/drive/folders/1iyqugHwzMlSvMS0oI5BT4arrCqnA-B-b?usp=sharing"/>
    <n v="3116316481"/>
    <x v="3"/>
    <s v="Cauca"/>
    <e v="#REF!"/>
    <s v="RCE_260212_50"/>
    <m/>
    <d v="2026-02-19T00:00:00"/>
    <s v="Sí"/>
    <s v="Equipo Técnico Territorial"/>
    <s v="No"/>
    <s v="En Base de Datos"/>
    <m/>
    <m/>
  </r>
  <r>
    <d v="2026-02-09T00:00:00"/>
    <s v="Mary Fernanda Arevalo Robles"/>
    <n v="1088596639"/>
    <x v="1"/>
    <s v="https://drive.google.com/drive/folders/1uCtJLjUGP5j6bxcNKa2ICrypFLxXTE_-?usp=sharing"/>
    <n v="3133009656"/>
    <x v="3"/>
    <s v="Nariño"/>
    <s v="Ipiales"/>
    <s v="RCE_260212_50"/>
    <m/>
    <d v="2026-02-19T00:00:00"/>
    <s v="Sí"/>
    <s v="Equipo Técnico Territorial"/>
    <s v="No"/>
    <s v="En Base de Datos"/>
    <m/>
    <m/>
  </r>
  <r>
    <d v="2026-02-09T00:00:00"/>
    <s v="Aida Ximena Latorre Lopez"/>
    <n v="1013608492"/>
    <x v="2"/>
    <s v="https://drive.google.com/drive/folders/19-o-Rum0mwSmT9a8z0jgjBRTcByV8Bnu?usp=sharing"/>
    <n v="3132636704"/>
    <x v="0"/>
    <s v="Bogotá"/>
    <s v="Bogotá"/>
    <s v="RCE_260212_50"/>
    <m/>
    <d v="2026-02-19T00:00:00"/>
    <s v="Sí"/>
    <s v="Equipo Técnico Territorial"/>
    <s v="No"/>
    <s v="En Base de Datos"/>
    <m/>
    <m/>
  </r>
  <r>
    <d v="2026-02-09T00:00:00"/>
    <s v="JUAN SEBASTIAN MUTIZ BACCA"/>
    <n v="1085287821"/>
    <x v="1"/>
    <s v="https://drive.google.com/drive/folders/1BBwTx5cFHzB2r8c3ARTc0TZ802zYCGxd?usp=sharing"/>
    <s v="317-5144690 324-2105364"/>
    <x v="3"/>
    <s v="Nariño"/>
    <s v="San juan de pasto"/>
    <s v="RCE_260212_50"/>
    <m/>
    <d v="2026-02-19T00:00:00"/>
    <s v="Sí"/>
    <s v="Equipo Técnico Territorial"/>
    <s v="No"/>
    <s v="En Base de Datos"/>
    <m/>
    <m/>
  </r>
  <r>
    <d v="2026-02-09T00:00:00"/>
    <s v="Merly Jinneth Daza Verdugo"/>
    <n v="1031164512"/>
    <x v="1"/>
    <s v="https://drive.google.com/drive/folders/1mYE8ld2vs0x2xKUwRBn5HtNSQkGi8Ezf?usp=sharing"/>
    <n v="3118799509"/>
    <x v="0"/>
    <s v="Meta"/>
    <s v="San juan de arama"/>
    <s v="RCE_260212_50"/>
    <m/>
    <d v="2026-02-19T00:00:00"/>
    <s v="Sí"/>
    <s v="Equipo Técnico Territorial"/>
    <s v="Sí"/>
    <s v="Activo"/>
    <s v="Contratado 20-Feb"/>
    <m/>
  </r>
  <r>
    <d v="2026-02-09T00:00:00"/>
    <s v="Jhon Alberto Cordoba Estacio"/>
    <n v="1087107385"/>
    <x v="1"/>
    <s v="https://drive.google.com/drive/folders/1gpBmL71PdMYFtmyHX76lrJd3SO8OlrUY?usp=sharing"/>
    <n v="3106306080"/>
    <x v="3"/>
    <s v="Nariño"/>
    <s v="Tumaco"/>
    <s v="RCE_260212_50"/>
    <m/>
    <d v="2026-02-19T00:00:00"/>
    <s v="Sí"/>
    <s v="Equipo Técnico Territorial"/>
    <s v="No"/>
    <s v="En Base de Datos"/>
    <m/>
    <m/>
  </r>
  <r>
    <d v="2026-02-09T00:00:00"/>
    <s v="María Stella Ramírez Álvarez"/>
    <n v="40433749"/>
    <x v="1"/>
    <s v="https://drive.google.com/drive/folders/1EpgJn6-OXdndrfG_SU5r5FgUKAUfUQ6v?usp=sharing"/>
    <n v="3143097811"/>
    <x v="0"/>
    <s v="Meta"/>
    <s v="Acacías"/>
    <s v="RCE_260212_50"/>
    <m/>
    <d v="2026-02-19T00:00:00"/>
    <s v="Sí"/>
    <s v="Equipo Técnico Territorial"/>
    <s v="Sí"/>
    <s v="Activo"/>
    <s v="Contratado 20-Feb"/>
    <m/>
  </r>
  <r>
    <d v="2026-02-09T00:00:00"/>
    <s v="LUIS FERNANDO SALAZAR FLORIÁN"/>
    <n v="1120363625"/>
    <x v="1"/>
    <s v="https://drive.google.com/drive/folders/1LcP-vKc3z0Z0Uq0N1s3moutgZetpXddl?usp=sharing"/>
    <s v="3156545165-3192101517 Wpp"/>
    <x v="0"/>
    <s v="Guaviare"/>
    <s v="Calamar"/>
    <s v="RCE_260212_50"/>
    <m/>
    <d v="2026-02-19T00:00:00"/>
    <s v="Sí"/>
    <s v="Equipo Técnico Territorial"/>
    <s v="No"/>
    <s v="En Base de Datos"/>
    <m/>
    <m/>
  </r>
  <r>
    <d v="2026-02-09T00:00:00"/>
    <s v="MANUEL ALEJANDRO GUTIERREZ MUÑOZ"/>
    <n v="10618221167"/>
    <x v="1"/>
    <s v="https://drive.google.com/drive/folders/1ofop92PWi33jctWUKiMDz-VeM2M9latd?usp=sharing"/>
    <n v="3116901804"/>
    <x v="3"/>
    <s v="Cauca"/>
    <s v="Popayán"/>
    <s v="RCE_260212_50"/>
    <m/>
    <d v="2026-02-19T00:00:00"/>
    <s v="Sí"/>
    <s v="Equipo Técnico Territorial"/>
    <s v="Sí"/>
    <s v="Retirado"/>
    <s v="Retirado 26/02/2026"/>
    <m/>
  </r>
  <r>
    <d v="2026-02-09T00:00:00"/>
    <s v="Karen Lambraño Gonzalez"/>
    <n v="52396181"/>
    <x v="2"/>
    <s v="https://drive.google.com/drive/folders/1rWqkjYZqU3NPfl8BzaciwuAfzaGpCaN5?usp=sharing"/>
    <n v="3151000799"/>
    <x v="0"/>
    <s v="Bogotá"/>
    <s v="Bogotá"/>
    <s v="RCE_260212_50"/>
    <m/>
    <d v="2026-02-19T00:00:00"/>
    <s v="Sí"/>
    <s v="Equipo Técnico Territorial"/>
    <s v="No"/>
    <s v="En Base de Datos"/>
    <m/>
    <m/>
  </r>
  <r>
    <d v="2026-02-09T00:00:00"/>
    <s v="Sandra Milena Zabala Martin"/>
    <n v="52773013"/>
    <x v="2"/>
    <s v="https://drive.google.com/drive/folders/1DGSI_n7fz5-GxkklGRuZmsZfHs3bdtjq?usp=sharing"/>
    <s v="301 3786087"/>
    <x v="0"/>
    <s v="Bogotá"/>
    <s v="Bogotá"/>
    <s v="RCE_260212_50"/>
    <m/>
    <d v="2026-02-19T00:00:00"/>
    <s v="Sí"/>
    <s v="Equipo Técnico Territorial"/>
    <s v="No"/>
    <s v="En Base de Datos"/>
    <m/>
    <m/>
  </r>
  <r>
    <d v="2026-02-09T00:00:00"/>
    <s v="Carol Xiomara Cruz Hernández"/>
    <n v="1018406095"/>
    <x v="2"/>
    <s v="https://drive.google.com/drive/folders/12dHLXyCREkgO8JqKBBAH1RhpiAQ0AfLk?usp=sharing"/>
    <n v="3113686948"/>
    <x v="0"/>
    <s v="Bogotá"/>
    <s v="Bogotá"/>
    <s v="RCE_260212_50"/>
    <m/>
    <d v="2026-02-19T00:00:00"/>
    <s v="Sí"/>
    <s v="Equipo Técnico Territorial"/>
    <s v="No"/>
    <s v="En Base de Datos"/>
    <m/>
    <m/>
  </r>
  <r>
    <d v="2026-02-09T00:00:00"/>
    <s v="MAGDA TAFUR SERRANA"/>
    <n v="52485015"/>
    <x v="2"/>
    <s v="https://drive.google.com/drive/folders/1oAEvo64BAKbMB6n1pyHo8W3jTVQ9sIXo?usp=sharing"/>
    <s v="320 889 84 11"/>
    <x v="0"/>
    <s v="Bogotá"/>
    <s v="Bogotá"/>
    <s v="RCE_260212_50"/>
    <m/>
    <d v="2026-02-19T00:00:00"/>
    <s v="Sí"/>
    <s v="Equipo Técnico Territorial"/>
    <s v="No"/>
    <s v="En Base de Datos"/>
    <m/>
    <m/>
  </r>
  <r>
    <d v="2026-02-09T00:00:00"/>
    <s v="Yorely Andrea Daza Imbachi"/>
    <n v="1085294943"/>
    <x v="1"/>
    <s v="https://drive.google.com/drive/folders/1MLBGEpBo8TP2_7S7uXPA-an3JY8dDCuB?usp=sharing"/>
    <n v="3145082459"/>
    <x v="3"/>
    <s v="Nariño"/>
    <s v="Policarpa"/>
    <s v="RCE_260213_53"/>
    <m/>
    <m/>
    <s v="Sí"/>
    <s v="Equipo Técnico Territorial"/>
    <s v="No"/>
    <m/>
    <m/>
    <m/>
  </r>
  <r>
    <d v="2026-02-09T00:00:00"/>
    <s v="Maria Leney Patiño Zapata"/>
    <n v="43906220"/>
    <x v="1"/>
    <s v="https://drive.google.com/drive/folders/1utQcc0BjpsWM1eXi8j04Pl-rZlfbF4tA?usp=sharing"/>
    <s v="3128734920 - 3024074152"/>
    <x v="3"/>
    <s v="Antioquia"/>
    <s v="Santa rosa de osos"/>
    <s v="RCE_260213_53"/>
    <m/>
    <m/>
    <s v="Sí"/>
    <s v="Equipo Técnico Territorial"/>
    <s v="Sí"/>
    <m/>
    <m/>
    <m/>
  </r>
  <r>
    <s v="28/01/2026_x000a_13/02/2026"/>
    <s v="FELIX ARMANDO CELIS VALENCIA"/>
    <n v="80166072"/>
    <x v="2"/>
    <s v="https://drive.google.com/drive/folders/1gBm-IF_1bBMdkI6SNl2bbHvG86d8K1yX?usp=sharing"/>
    <n v="3003898501"/>
    <x v="0"/>
    <s v="Bogotá"/>
    <s v="Bogotá"/>
    <s v="RCE_260217_55"/>
    <s v="RCE_260131_36"/>
    <d v="2026-02-09T00:00:00"/>
    <s v="Sí"/>
    <s v="Equipo Técnico Territorial"/>
    <s v="No"/>
    <s v="En Base de Datos"/>
    <m/>
    <m/>
  </r>
  <r>
    <s v="3/02/2026_x000a_13/02/2026"/>
    <s v="Maria Jose Donado Gutierrez"/>
    <n v="1042456346"/>
    <x v="2"/>
    <s v="https://drive.google.com/drive/folders/1GHBUURgt2KdObDe3uq-IQnMEmQXIE1m8?usp=sharing"/>
    <n v="3186101124"/>
    <x v="2"/>
    <s v="Atlántico"/>
    <e v="#REF!"/>
    <s v="RCE_260217_55"/>
    <s v="RCE_260209_44"/>
    <d v="2026-02-10T00:00:00"/>
    <s v="Sí"/>
    <s v="Equipo Técnico Territorial"/>
    <s v="No"/>
    <s v="No Aprobado"/>
    <m/>
    <m/>
  </r>
  <r>
    <d v="2026-02-13T00:00:00"/>
    <s v="CARMEN LETICIA ESTRADA MESTRE"/>
    <n v="49759629"/>
    <x v="2"/>
    <s v="https://drive.google.com/drive/folders/1zdpmqAXsc9gUUtr7Wvovs9iHRqLpbJdX?usp=sharing"/>
    <n v="3106104263"/>
    <x v="2"/>
    <s v="Cesar"/>
    <s v="Valledupar"/>
    <s v="RCE_260217_55"/>
    <m/>
    <d v="2026-02-23T00:00:00"/>
    <s v="Sí"/>
    <s v="Equipo Técnico Territorial"/>
    <s v="No"/>
    <s v="En Base de Datos"/>
    <m/>
    <m/>
  </r>
  <r>
    <d v="2026-02-13T00:00:00"/>
    <s v="MARGELYS SERPA URIETA"/>
    <n v="26918987"/>
    <x v="2"/>
    <s v="https://drive.google.com/drive/folders/1z6J-vbH1ZE5eMsBVJ60-F6jFjJKNbHbj?usp=sharing"/>
    <n v="3205265250"/>
    <x v="2"/>
    <s v="Cesar"/>
    <e v="#REF!"/>
    <s v="RCE_260217_55"/>
    <m/>
    <d v="2026-02-23T00:00:00"/>
    <s v="Sí"/>
    <s v="Equipo Técnico Territorial"/>
    <s v="No"/>
    <s v="En Base de Datos"/>
    <m/>
    <m/>
  </r>
  <r>
    <d v="2026-02-13T00:00:00"/>
    <s v="Juan Andrés LagosTorres"/>
    <n v="11524339"/>
    <x v="2"/>
    <s v="https://drive.google.com/drive/folders/19qexJhKJ-GsFk7lh1b7dLIA_a3Wg5k2f?usp=sharing"/>
    <n v="3204118185"/>
    <x v="2"/>
    <s v="Cesar"/>
    <e v="#REF!"/>
    <s v="RCE_260217_55"/>
    <m/>
    <d v="2026-02-23T00:00:00"/>
    <s v="Sí"/>
    <s v="Equipo Técnico Territorial"/>
    <s v="No"/>
    <s v="En Base de Datos"/>
    <m/>
    <m/>
  </r>
  <r>
    <d v="2026-02-13T00:00:00"/>
    <s v="DELIA INES BARRIOS CHARRIS"/>
    <n v="49697449"/>
    <x v="2"/>
    <s v="https://drive.google.com/drive/folders/1tv4YrQGgCxVXHmMr0aiGWesWYZJgdbes?usp=sharing"/>
    <s v="3006593886 – 3156221830"/>
    <x v="1"/>
    <s v="Cesar"/>
    <s v="Agustín Codazzi"/>
    <s v="RCE_260217_55"/>
    <m/>
    <d v="2026-02-23T00:00:00"/>
    <s v="Sí"/>
    <s v="Equipo Técnico Territorial"/>
    <s v="No"/>
    <s v="En Base de Datos"/>
    <m/>
    <m/>
  </r>
  <r>
    <d v="2026-02-13T00:00:00"/>
    <s v="GUSTAVO ALBERTO QUINTANILLA TORRADO"/>
    <n v="5470135"/>
    <x v="2"/>
    <s v="https://drive.google.com/drive/folders/1CqG5XMOVPmqJ69mzapLAy_VrYRMp5Cuj?usp=sharing"/>
    <n v="3153904870"/>
    <x v="1"/>
    <s v="Norte de Santander"/>
    <e v="#REF!"/>
    <s v="RCE_260217_55"/>
    <m/>
    <d v="2026-02-23T00:00:00"/>
    <s v="Sí"/>
    <s v="Equipo Técnico Territorial"/>
    <s v="No"/>
    <s v="En Base de Datos"/>
    <m/>
    <m/>
  </r>
  <r>
    <d v="2026-02-13T00:00:00"/>
    <s v="GLADYS GUERRERO GONZALEZ"/>
    <n v="63511350"/>
    <x v="2"/>
    <s v="https://drive.google.com/drive/folders/1pnaJ_M8v6HeaCtSxzaKtO4qc1ctdULyn?usp=sharing"/>
    <n v="3183766750"/>
    <x v="3"/>
    <s v="Santander"/>
    <s v="Bucaramanga"/>
    <s v="RCE_260217_55"/>
    <m/>
    <m/>
    <s v="Sí"/>
    <s v="Equipo Técnico Territorial"/>
    <s v="No"/>
    <m/>
    <m/>
    <m/>
  </r>
  <r>
    <d v="2026-02-13T00:00:00"/>
    <s v="NAYELY PALACIOS MURILLO"/>
    <n v="1131044558"/>
    <x v="2"/>
    <s v="https://drive.google.com/drive/folders/1_ZgTwOeVlRZckAYORKProIowHOMsR9BM?usp=sharing"/>
    <n v="3105382580"/>
    <x v="3"/>
    <s v="Chocó"/>
    <s v="Certegui"/>
    <s v="RCE_260217_55"/>
    <m/>
    <d v="2026-02-23T00:00:00"/>
    <s v="Sí"/>
    <s v="Equipo Técnico Territorial"/>
    <s v="No"/>
    <s v="En Base de Datos"/>
    <m/>
    <m/>
  </r>
  <r>
    <d v="2026-02-13T00:00:00"/>
    <s v="Hugo Hernan Baez Galeano"/>
    <n v="1085244085"/>
    <x v="2"/>
    <s v="https://drive.google.com/drive/folders/1JoVzGobB_AJd-N3jrRJ_uQGp9d3onISZ?usp=sharing"/>
    <n v="3017218919"/>
    <x v="3"/>
    <s v="Nariño"/>
    <e v="#REF!"/>
    <s v="RCE_260217_55"/>
    <m/>
    <d v="2026-02-23T00:00:00"/>
    <s v="Sí"/>
    <s v="Equipo Técnico Territorial"/>
    <s v="No"/>
    <s v="En Base de Datos"/>
    <m/>
    <m/>
  </r>
  <r>
    <d v="2026-02-13T00:00:00"/>
    <s v="Fabianny Romaña Marmolejo"/>
    <n v="35898964"/>
    <x v="2"/>
    <s v="https://drive.google.com/drive/folders/18BHGP3HtCZqhxcPfXJ5HtlmDBAwVbhli?usp=sharing"/>
    <n v="3117783700"/>
    <x v="3"/>
    <s v="Chocó"/>
    <s v="Quibdó"/>
    <s v="RCE_260217_55"/>
    <m/>
    <d v="2026-02-23T00:00:00"/>
    <s v="Sí"/>
    <s v="Equipo Técnico Territorial"/>
    <s v="No"/>
    <s v="En Base de Datos"/>
    <m/>
    <m/>
  </r>
  <r>
    <d v="2026-02-13T00:00:00"/>
    <s v="Paola Andrea Endo Urrea"/>
    <n v="1015475003"/>
    <x v="2"/>
    <s v="https://drive.google.com/drive/folders/1ifqhyAj2DNc-FJvAg_JAg-GW5xnX5EjU?usp=sharing"/>
    <s v="320 9430213"/>
    <x v="4"/>
    <s v="Bogotá"/>
    <s v="Bogotá"/>
    <s v="RCE_260217_55"/>
    <m/>
    <d v="2026-02-23T00:00:00"/>
    <s v="Sí"/>
    <s v="Equipo Técnico Territorial"/>
    <s v="No"/>
    <s v="En Base de Datos"/>
    <m/>
    <m/>
  </r>
  <r>
    <d v="2026-02-13T00:00:00"/>
    <s v="CINDY YULIETH BUITRAGO PENAGOS"/>
    <n v="1121879132"/>
    <x v="2"/>
    <s v="https://drive.google.com/drive/folders/1rx7_5gKa9436MBsJceRs2XJG5uYCgikD?usp=sharing"/>
    <n v="3105003049"/>
    <x v="0"/>
    <s v="Meta"/>
    <s v="Granada"/>
    <s v="RCE_260217_55"/>
    <m/>
    <d v="2026-02-23T00:00:00"/>
    <s v="Sí"/>
    <s v="Equipo Técnico Territorial"/>
    <s v="No"/>
    <s v="En Base de Datos"/>
    <m/>
    <m/>
  </r>
  <r>
    <d v="2026-02-13T00:00:00"/>
    <s v="JOHN ALEXANDER ROJAS ROBAYO"/>
    <n v="1016015211"/>
    <x v="2"/>
    <s v="https://drive.google.com/drive/folders/14ezdklVmv2YcuE2_OsK8V2qXiHaKz9Ip?usp=sharing"/>
    <n v="3042130653"/>
    <x v="0"/>
    <s v="Bogotá"/>
    <s v="Bogotá"/>
    <s v="RCE_260217_55"/>
    <m/>
    <d v="2026-02-23T00:00:00"/>
    <s v="Sí"/>
    <s v="Equipo Técnico Territorial"/>
    <s v="No"/>
    <s v="En Base de Datos"/>
    <m/>
    <m/>
  </r>
  <r>
    <d v="2026-02-13T00:00:00"/>
    <s v="KARINA OVALLE MUEGUES"/>
    <n v="56096742"/>
    <x v="2"/>
    <s v="https://drive.google.com/drive/folders/1EqVuSVrQ8kHn3pBeu_um2aEBWukgwsUD?usp=sharing"/>
    <n v="3217761167"/>
    <x v="2"/>
    <s v="Cesar"/>
    <s v="Valledupar"/>
    <s v="RCE_260217_55"/>
    <m/>
    <m/>
    <s v="Sí"/>
    <s v="Equipo Técnico Territorial"/>
    <s v="No"/>
    <m/>
    <m/>
    <m/>
  </r>
  <r>
    <d v="2026-02-13T00:00:00"/>
    <s v="LINA MARCELA ROSERO MORALES"/>
    <n v="43862335"/>
    <x v="1"/>
    <s v="https://drive.google.com/drive/folders/1kBXjnp-SYRy7Y79MIt9kGEa5Y6X-w9UU?usp=sharing"/>
    <n v="3113209415"/>
    <x v="3"/>
    <s v="Antioquia"/>
    <s v="Medellín"/>
    <s v="RCE_260217_55"/>
    <m/>
    <d v="2026-02-23T00:00:00"/>
    <s v="Sí"/>
    <s v="Equipo Técnico Territorial"/>
    <s v="No"/>
    <s v="En Base de Datos"/>
    <m/>
    <m/>
  </r>
  <r>
    <d v="2026-02-13T00:00:00"/>
    <s v="NICOLÁS EDUARDO ALVAREZ OSORIO"/>
    <n v="70782693"/>
    <x v="1"/>
    <s v="https://drive.google.com/drive/folders/1ZPs2fF1gllpRRToLqGgnM6lsRGYNDD0J?usp=sharing"/>
    <s v="311 340 60 81"/>
    <x v="3"/>
    <s v="Antioquia"/>
    <s v="Medellín"/>
    <s v="RCE_260217_55"/>
    <m/>
    <d v="2026-02-23T00:00:00"/>
    <s v="Sí"/>
    <s v="Equipo Técnico Territorial"/>
    <s v="No"/>
    <s v="En Base de Datos"/>
    <m/>
    <m/>
  </r>
  <r>
    <d v="2026-02-13T00:00:00"/>
    <s v="Juan Daniel Tapias Garcia"/>
    <n v="1193538073"/>
    <x v="5"/>
    <s v="https://drive.google.com/drive/folders/14f4_9VT2AWtSWdR8ekXmdM5-81T6OyR5?usp=sharing"/>
    <n v="3177694430"/>
    <x v="1"/>
    <s v="Santander"/>
    <s v="Bucaramanga"/>
    <s v="RCE_260217_55"/>
    <m/>
    <d v="2026-02-23T00:00:00"/>
    <s v="Sí"/>
    <s v="Equipo Nacional"/>
    <s v="Sí"/>
    <s v="Activo"/>
    <m/>
    <s v="RCE_260217_55"/>
  </r>
  <r>
    <d v="2026-02-20T00:00:00"/>
    <s v="MARISOL LUGO VALENCIA"/>
    <n v="1087127860"/>
    <x v="1"/>
    <s v="https://drive.google.com/drive/folders/1U9ND7_v41jjJHcdLRzPu6_bqUaxY-ITG?usp=sharing"/>
    <n v="3218463385"/>
    <x v="3"/>
    <s v="Nariño"/>
    <s v="San Andrés de Tumaco"/>
    <s v="RCE_260220_57"/>
    <m/>
    <d v="2026-02-23T00:00:00"/>
    <s v="Sí"/>
    <s v="Equipo Técnico Territorial"/>
    <s v="No"/>
    <s v="En Base de Datos"/>
    <m/>
    <m/>
  </r>
  <r>
    <d v="2026-02-20T00:00:00"/>
    <s v="Jessica Alexandra Motta Alvarez"/>
    <n v="1075309991"/>
    <x v="1"/>
    <s v="https://drive.google.com/drive/folders/1I_OZtSjV1eshYX-HqlHUNdu0AgBJFV4I?usp=sharing"/>
    <n v="3214688729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Diana Patricia Hoyos Sanchez"/>
    <n v="31428969"/>
    <x v="1"/>
    <s v="https://drive.google.com/drive/folders/1QdjLfkKD2ZpQesknfqeqD3VrIl-iIB3A?usp=sharing"/>
    <n v="3113472192"/>
    <x v="3"/>
    <s v="Valle del cauca"/>
    <s v="Cartago"/>
    <s v="RCE_260220_57"/>
    <m/>
    <d v="2026-02-23T00:00:00"/>
    <s v="Sí"/>
    <s v="Equipo Técnico Territorial"/>
    <s v="No"/>
    <s v="En Base de Datos"/>
    <m/>
    <m/>
  </r>
  <r>
    <d v="2026-02-20T00:00:00"/>
    <s v="Dayron Ruiz Mena"/>
    <n v="80849934"/>
    <x v="1"/>
    <s v="https://drive.google.com/drive/folders/1LigPn0Oa3TgAnP7KacdwM27VcDFtFkhF?usp=sharing"/>
    <n v="3008138523"/>
    <x v="0"/>
    <s v="Guaviare"/>
    <s v="San José del Guaviare"/>
    <s v="RCE_260220_57"/>
    <m/>
    <d v="2026-02-23T00:00:00"/>
    <s v="Sí"/>
    <s v="Equipo Técnico Territorial"/>
    <s v="Sí"/>
    <s v="Activo"/>
    <s v="Contratado 03-Mar"/>
    <m/>
  </r>
  <r>
    <d v="2026-02-20T00:00:00"/>
    <s v="Juan Esteban Salcedo Moreno"/>
    <n v="1094942032"/>
    <x v="1"/>
    <s v="https://drive.google.com/drive/folders/14DhZ8PeYVsBG1gzQ4CxEs8-CHlVsBkoF?usp=sharing"/>
    <n v="3165838881"/>
    <x v="4"/>
    <s v="Quindio"/>
    <e v="#REF!"/>
    <s v="RCE_260220_57"/>
    <m/>
    <d v="2026-02-23T00:00:00"/>
    <s v="Sí"/>
    <s v="Equipo Técnico Territorial"/>
    <s v="No"/>
    <s v="En Base de Datos"/>
    <m/>
    <m/>
  </r>
  <r>
    <d v="2026-02-20T00:00:00"/>
    <s v="Victoria Eugenia Mendez Velazquez"/>
    <n v="1075240144"/>
    <x v="1"/>
    <s v="https://drive.google.com/drive/folders/1Vc78QxblSjMWlq7Thq-6fgu3_JVXT5_-?usp=sharing"/>
    <n v="3138331202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Cristian Ronney Reyes Morales"/>
    <n v="1075599485"/>
    <x v="1"/>
    <s v="https://drive.google.com/drive/folders/1biH16cmcJwfZBmQPIXJcc2oPUbwZ9atf?usp=sharing"/>
    <n v="3142376220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MERCEDES YOMAIRA ORTEGA VILLOTA"/>
    <n v="27227914"/>
    <x v="1"/>
    <s v="https://drive.google.com/drive/folders/1CH97Wac2N6RZhWPRKqnxWF6TQ0lAMTYc?usp=sharing"/>
    <n v="3166279679"/>
    <x v="3"/>
    <s v="Nariño"/>
    <s v="Ipiales"/>
    <s v="RCE_260220_57"/>
    <m/>
    <d v="2026-02-23T00:00:00"/>
    <s v="Sí"/>
    <s v="Equipo Técnico Territorial"/>
    <s v="No"/>
    <s v="En Base de Datos"/>
    <m/>
    <m/>
  </r>
  <r>
    <d v="2026-02-20T00:00:00"/>
    <s v="JOHN MARIO PEÑA OTERO"/>
    <n v="83229412"/>
    <x v="1"/>
    <s v="https://drive.google.com/drive/folders/1lY83-irk2MX0xsCubxkZxyroxje4brWQ?usp=sharing"/>
    <n v="3022168687"/>
    <x v="0"/>
    <s v="Huila"/>
    <s v="Rivera"/>
    <s v="RCE_260220_57"/>
    <m/>
    <d v="2026-02-23T00:00:00"/>
    <s v="Sí"/>
    <s v="Equipo Técnico Territorial"/>
    <s v="No"/>
    <s v="En Base de Datos"/>
    <m/>
    <m/>
  </r>
  <r>
    <d v="2026-02-20T00:00:00"/>
    <s v="DANIEL MAURICIO CASTRO CABRERA"/>
    <n v="1079508259"/>
    <x v="1"/>
    <s v="https://drive.google.com/drive/folders/1TqKowxQAaxjApmX965D47WX1QxY-v2C6?usp=sharing"/>
    <n v="3229438477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Maria Lucia Silva Varona"/>
    <n v="25285087"/>
    <x v="1"/>
    <s v="https://drive.google.com/drive/folders/1mkkBi20szbV_YrzmLYuMB1Va2VrwInGm?usp=sharing"/>
    <n v="3122079485"/>
    <x v="3"/>
    <s v="Cauca"/>
    <s v="Popayán"/>
    <s v="RCE_260220_57"/>
    <m/>
    <m/>
    <s v="Sí"/>
    <s v="Equipo Técnico Territorial"/>
    <s v="No"/>
    <m/>
    <m/>
    <m/>
  </r>
  <r>
    <d v="2026-02-20T00:00:00"/>
    <s v="Luis Alberto Trejos Flórez"/>
    <n v="1053771238"/>
    <x v="1"/>
    <s v="https://drive.google.com/drive/folders/1YaVDVmEA5N68SBd8pF22BVGKxxYI8WL6?usp=sharing"/>
    <n v="3108025591"/>
    <x v="3"/>
    <s v="Putumayo"/>
    <s v="Puerto Asis"/>
    <s v="RCE_260220_57"/>
    <m/>
    <d v="2026-02-23T00:00:00"/>
    <s v="Sí"/>
    <s v="Equipo Técnico Territorial"/>
    <s v="No"/>
    <s v="En Base de Datos"/>
    <m/>
    <m/>
  </r>
  <r>
    <d v="2026-02-20T00:00:00"/>
    <s v="Luisa Fernanda Londoño Granada"/>
    <n v="1053788345"/>
    <x v="1"/>
    <s v="https://drive.google.com/drive/folders/16b8aXQQkBv3xtT8G-K_Ij8C9RM12yAux?usp=sharing"/>
    <n v="3113219834"/>
    <x v="0"/>
    <s v="Huila"/>
    <s v="Pitalito"/>
    <s v="RCE_260220_57"/>
    <m/>
    <d v="2026-02-23T00:00:00"/>
    <s v="Sí"/>
    <s v="Equipo Técnico Territorial"/>
    <s v="No"/>
    <s v="En Base de Datos"/>
    <m/>
    <m/>
  </r>
  <r>
    <d v="2026-02-20T00:00:00"/>
    <s v="LUIS FERNANDO CALDERON ALVARADO"/>
    <n v="7688678"/>
    <x v="1"/>
    <s v="https://drive.google.com/drive/folders/1gwM7QVcV97ZHxepTPahQ8VmK0EAO5bp0?usp=sharing"/>
    <s v="310311 5927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Ariel Enrrique Herrera hurtado"/>
    <n v="76308056"/>
    <x v="1"/>
    <s v="https://drive.google.com/drive/folders/1jhx8IyltMXVqzrDdXMbBTF09pB_Hvmez?usp=sharing"/>
    <s v="3124926640 - 3154823801"/>
    <x v="3"/>
    <s v="Cauca"/>
    <e v="#REF!"/>
    <s v="RCE_260220_57"/>
    <m/>
    <d v="2026-02-23T00:00:00"/>
    <s v="Sí"/>
    <s v="Equipo Técnico Territorial"/>
    <s v="No"/>
    <s v="En Base de Datos"/>
    <m/>
    <m/>
  </r>
  <r>
    <d v="2026-02-20T00:00:00"/>
    <s v="Carlos Fernando Vergara Bastidas"/>
    <n v="1062281470"/>
    <x v="1"/>
    <s v="https://drive.google.com/drive/folders/1S-9oR4qQHZQu9KT2ztAQGM21Bn3Ymcfm?usp=sharing"/>
    <s v="3108717432 - 3203782417"/>
    <x v="3"/>
    <s v="Cauca"/>
    <s v="Timbío"/>
    <s v="RCE_260220_57"/>
    <m/>
    <d v="2026-02-23T00:00:00"/>
    <s v="Sí"/>
    <s v="Equipo Técnico Territorial"/>
    <s v="No"/>
    <s v="En Base de Datos"/>
    <m/>
    <m/>
  </r>
  <r>
    <d v="2026-02-20T00:00:00"/>
    <s v="Johny Cuaspud huertas"/>
    <n v="98344529"/>
    <x v="1"/>
    <s v="https://drive.google.com/drive/folders/1AT0FPE7Keq5aow-NgC2vGd_ohdpBFQ41?usp=sharing"/>
    <n v="3167593616"/>
    <x v="3"/>
    <s v="Nariño"/>
    <s v="Puerres"/>
    <s v="RCE_260220_57"/>
    <m/>
    <d v="2026-02-23T00:00:00"/>
    <s v="Sí"/>
    <s v="Equipo Técnico Territorial"/>
    <s v="No"/>
    <s v="En Base de Datos"/>
    <m/>
    <m/>
  </r>
  <r>
    <d v="2026-02-13T00:00:00"/>
    <s v="Carol Johanna Monroy Cardenas"/>
    <n v="26433136"/>
    <x v="1"/>
    <s v="https://drive.google.com/drive/folders/1j1ahNT8LZiMSYWo0QIMRBxvut4T3KJrm?usp=sharing"/>
    <s v="3102034100 - 3018367653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Diana Santacruz Garcia"/>
    <n v="1085282057"/>
    <x v="1"/>
    <s v="https://drive.google.com/drive/folders/1F5Vct5yDnz0FLqYzQlmq7s8katg8inSo?usp=sharing"/>
    <n v="3116998830"/>
    <x v="3"/>
    <s v="Nariño"/>
    <s v="Pasto"/>
    <s v="RCE_260220_57"/>
    <m/>
    <d v="2026-02-23T00:00:00"/>
    <s v="Sí"/>
    <s v="Equipo Técnico Territorial"/>
    <s v="No"/>
    <s v="En Base de Datos"/>
    <m/>
    <m/>
  </r>
  <r>
    <d v="2026-02-20T00:00:00"/>
    <s v="Diana Marcela Zambrano Valenzuela"/>
    <n v="1075291380"/>
    <x v="1"/>
    <s v="https://drive.google.com/drive/folders/1DEwO21oqDegXo6v3V0cdhQWamOBN17Hn?usp=sharing"/>
    <n v="3143439450"/>
    <x v="0"/>
    <s v="Huila"/>
    <e v="#REF!"/>
    <s v="RCE_260220_57"/>
    <m/>
    <d v="2026-02-23T00:00:00"/>
    <s v="Sí"/>
    <s v="Equipo Técnico Territorial"/>
    <s v="No"/>
    <s v="En Base de Datos"/>
    <m/>
    <m/>
  </r>
  <r>
    <d v="2026-02-20T00:00:00"/>
    <s v="Diego Alfonso Polania Suarez"/>
    <n v="7684683"/>
    <x v="1"/>
    <s v="https://drive.google.com/drive/folders/1rTX7qVFVBRnr2Q-VQnX9JFR_COmfgTXU?usp=sharing"/>
    <n v="3132251215"/>
    <x v="0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MARTHA NURY TAPIA CANO"/>
    <n v="55167434"/>
    <x v="1"/>
    <s v="https://drive.google.com/drive/folders/17tT4pmz0K_ADP4gqT_GQiAHi8NlHkjbP?usp=sharing"/>
    <s v="314-4739311"/>
    <x v="3"/>
    <s v="Huila"/>
    <s v="Neiva"/>
    <s v="RCE_260220_57"/>
    <m/>
    <d v="2026-02-23T00:00:00"/>
    <s v="Sí"/>
    <s v="Equipo Técnico Territorial"/>
    <s v="No"/>
    <s v="En Base de Datos"/>
    <m/>
    <m/>
  </r>
  <r>
    <d v="2026-02-20T00:00:00"/>
    <s v="Sandra Milena Rojas Segura"/>
    <n v="26460672"/>
    <x v="1"/>
    <s v="https://drive.google.com/drive/folders/1-upPSjqyixH8h-HmbMnukrRg_8D_esw0?usp=sharing"/>
    <n v="3157209469"/>
    <x v="0"/>
    <s v="Huila"/>
    <s v="Neiva"/>
    <s v="RCE_260220_57"/>
    <m/>
    <m/>
    <s v="Sí"/>
    <s v="Equipo Técnico Territorial"/>
    <s v="No"/>
    <m/>
    <m/>
    <m/>
  </r>
  <r>
    <d v="2026-02-20T00:00:00"/>
    <s v="Leidy Johanna Velasquez Cordoba"/>
    <n v="26515893"/>
    <x v="1"/>
    <s v="https://drive.google.com/drive/folders/1Kb2ggjEZ4PoolqR-Ay_AHlZMRLSwlFBh?usp=sharing"/>
    <n v="3184647995"/>
    <x v="0"/>
    <s v="Huila"/>
    <s v="Íquira"/>
    <s v="RCE_260220_57"/>
    <m/>
    <d v="2026-02-23T00:00:00"/>
    <s v="Sí"/>
    <s v="Equipo Técnico Territorial"/>
    <s v="No"/>
    <s v="En Base de Datos"/>
    <m/>
    <m/>
  </r>
  <r>
    <d v="2026-02-20T00:00:00"/>
    <s v="STIVEN JULIAN MUÑOZ PALMA"/>
    <n v="1087120446"/>
    <x v="1"/>
    <s v="https://drive.google.com/drive/folders/1T5BGKuTzCUX8QU5F8hfR_DDUmbogN1By?usp=sharing"/>
    <n v="3163748708"/>
    <x v="3"/>
    <s v="Nariño"/>
    <s v="Tumaco"/>
    <s v="RCE_260220_57"/>
    <m/>
    <d v="2026-02-23T00:00:00"/>
    <s v="Sí"/>
    <s v="Equipo Técnico Territorial"/>
    <s v="No"/>
    <s v="En Base de Datos"/>
    <m/>
    <m/>
  </r>
  <r>
    <d v="2026-02-20T00:00:00"/>
    <s v="Alex Nelson Trujillo Pinto"/>
    <n v="7694230"/>
    <x v="1"/>
    <s v="https://drive.google.com/drive/folders/1SUTXeGUahWQebcSvArYrL4A1POQWAtDL?usp=sharing"/>
    <n v="3158762056"/>
    <x v="0"/>
    <s v="Huila"/>
    <s v="Rivera"/>
    <s v="RCE_260220_57"/>
    <m/>
    <d v="2026-02-23T00:00:00"/>
    <s v="Sí"/>
    <s v="Equipo Técnico Territorial"/>
    <s v="Sí"/>
    <s v="Retirado"/>
    <s v="Retirado 03/03/2026"/>
    <m/>
  </r>
  <r>
    <d v="2026-02-20T00:00:00"/>
    <s v="Hector Julio Serna Valencia"/>
    <n v="10302261"/>
    <x v="1"/>
    <s v="https://drive.google.com/drive/folders/1oF9kX3kkg9p1OwP7SSR-Ga-XMD5kEJvN?usp=sharing"/>
    <n v="3207473302"/>
    <x v="3"/>
    <s v="Cauca"/>
    <s v="Morales"/>
    <s v="RCE_260220_57"/>
    <m/>
    <d v="2026-02-23T00:00:00"/>
    <s v="Sí"/>
    <s v="Equipo Técnico Territorial"/>
    <s v="No"/>
    <s v="En Base de Datos"/>
    <m/>
    <m/>
  </r>
  <r>
    <d v="2026-02-20T00:00:00"/>
    <s v="LAURA MARCELA OSORIO CARDOSO"/>
    <n v="65782244"/>
    <x v="8"/>
    <s v="https://drive.google.com/drive/folders/18WPuwpkb8xLyUlzp6o7dFhye1AOLCgMp?usp=sharing"/>
    <n v="3202112669"/>
    <x v="4"/>
    <s v="Tolima"/>
    <s v="Ibagué"/>
    <s v="RCE_260220_57"/>
    <m/>
    <d v="2026-02-23T00:00:00"/>
    <s v="Sí"/>
    <s v="Equipo Nacional"/>
    <s v="No"/>
    <s v="En Base de Datos"/>
    <m/>
    <m/>
  </r>
  <r>
    <d v="2026-02-20T00:00:00"/>
    <s v="QUIRIA REGINA POMARICO CERDA"/>
    <n v="39097283"/>
    <x v="7"/>
    <s v="https://drive.google.com/drive/folders/17DKs52ndNkQYdHbyAphO1s41bUr5bTo0?usp=sharing"/>
    <n v="3003620253"/>
    <x v="2"/>
    <s v="Magdalena"/>
    <s v="Plato"/>
    <s v="RCE_260220_57"/>
    <m/>
    <d v="2026-02-23T00:00:00"/>
    <s v="Sí"/>
    <s v="Equipo Nacional"/>
    <s v="No"/>
    <s v="En Base de Datos"/>
    <m/>
    <m/>
  </r>
  <r>
    <d v="2026-02-20T00:00:00"/>
    <s v="Erwin Julián Carrero Bermúdez "/>
    <n v="1098822161"/>
    <x v="5"/>
    <s v="https://drive.google.com/drive/folders/1oG3WC1IWi8H0_F_Np8xT8oQ-Mumut5cL?usp=sharing"/>
    <n v="7441545"/>
    <x v="4"/>
    <s v="Bogotá"/>
    <s v="Bogotá"/>
    <s v="RCE_260224_63"/>
    <m/>
    <m/>
    <s v="Sí"/>
    <s v="Equipo Nacional"/>
    <s v="Sí"/>
    <m/>
    <m/>
    <m/>
  </r>
  <r>
    <d v="2026-02-20T00:00:00"/>
    <s v="María Del Socorro Pérez Díaz "/>
    <n v="45482446"/>
    <x v="1"/>
    <s v="https://drive.google.com/drive/folders/1nlJIvAWqUdwp8Rc8IGWCd0IecKZr9mz0?usp=sharing"/>
    <n v="3156289527"/>
    <x v="2"/>
    <s v="Cartagena de Indias"/>
    <s v="Cartagena de Indias"/>
    <s v="RCE_260224_63"/>
    <m/>
    <m/>
    <s v="Sí"/>
    <s v="Equipo Técnico Territorial"/>
    <s v="No"/>
    <m/>
    <m/>
    <m/>
  </r>
  <r>
    <d v="2026-02-20T00:00:00"/>
    <s v="Cristian Vargas Roa "/>
    <n v="1121897022"/>
    <x v="1"/>
    <s v="https://drive.google.com/drive/folders/13OfXX_Tu69dPsO88qDbqfQ4vgm94Jzf2?usp=sharing"/>
    <n v="3163501219"/>
    <x v="0"/>
    <s v="Guaviare"/>
    <s v="San Jose del Guaviare"/>
    <s v="RCE_260224_63"/>
    <m/>
    <m/>
    <s v="Sí"/>
    <s v="Equipo Técnico Territorial"/>
    <s v="No"/>
    <m/>
    <m/>
    <m/>
  </r>
  <r>
    <d v="2026-02-20T00:00:00"/>
    <s v="Carlos Hernan Celis Floriano "/>
    <n v="12264151"/>
    <x v="1"/>
    <s v="https://drive.google.com/drive/folders/1EDAC0yGix88u7Byv-kCeGmcI4hd2pjI8?usp=sharing"/>
    <n v="3102466915"/>
    <x v="0"/>
    <s v="Huila"/>
    <s v="Pitalito"/>
    <s v="RCE_260224_63"/>
    <m/>
    <m/>
    <s v="Sí"/>
    <s v="Equipo Técnico Territorial"/>
    <s v="No"/>
    <m/>
    <m/>
    <m/>
  </r>
  <r>
    <d v="2026-02-20T00:00:00"/>
    <s v="Rodrigo Alfonso Imues Orozco "/>
    <n v="13543356"/>
    <x v="1"/>
    <s v="https://drive.google.com/drive/folders/13VaJECnr5OjOhj8OZQ4XWlszeWqX3tfL?usp=sharing"/>
    <n v="3146157671"/>
    <x v="3"/>
    <s v="Putumayo"/>
    <s v="Orito"/>
    <s v="RCE_260224_63"/>
    <m/>
    <m/>
    <s v="Sí"/>
    <s v="Equipo Técnico Territorial"/>
    <s v="No"/>
    <m/>
    <m/>
    <m/>
  </r>
  <r>
    <d v="2026-02-20T00:00:00"/>
    <s v="Diana Marcela Marinez Velandia "/>
    <n v="1084866891"/>
    <x v="1"/>
    <s v="https://drive.google.com/drive/folders/1qwpw5qONbVF-n3R0qkNvMgCyKb7sqZVj?usp=sharing"/>
    <n v="3228147277"/>
    <x v="0"/>
    <s v="Huila"/>
    <e v="#REF!"/>
    <s v="RCE_260224_63"/>
    <m/>
    <m/>
    <s v="Sí"/>
    <s v="Equipo Técnico Territorial"/>
    <s v="No"/>
    <m/>
    <m/>
    <m/>
  </r>
  <r>
    <d v="2026-02-20T00:00:00"/>
    <s v="Héctor Alexander Solano González "/>
    <n v="97611163"/>
    <x v="1"/>
    <s v="https://drive.google.com/drive/folders/17xuuGkbS_HrmMqXa0nV-CskzyAkRHz_-?usp=sharing"/>
    <n v="3175474361"/>
    <x v="0"/>
    <s v="Guaviare"/>
    <s v="San Jose del Guaviare"/>
    <s v="RCE_260224_63"/>
    <m/>
    <m/>
    <s v="Sí"/>
    <s v="Equipo Técnico Territorial"/>
    <s v="Sí"/>
    <m/>
    <m/>
    <m/>
  </r>
  <r>
    <d v="2026-02-20T00:00:00"/>
    <s v="Lina Yineth Carrillo Lozano "/>
    <n v="36068609"/>
    <x v="1"/>
    <s v="https://drive.google.com/drive/folders/1k1wBFwynQHumiQEXTamDJH5qTZLPg5xv?usp=sharing"/>
    <n v="3115558024"/>
    <x v="0"/>
    <s v="Huila"/>
    <s v="Neiva"/>
    <s v="RCE_260224_63"/>
    <m/>
    <m/>
    <s v="Sí"/>
    <s v="Equipo Técnico Territorial"/>
    <s v="No"/>
    <m/>
    <m/>
    <m/>
  </r>
  <r>
    <d v="2026-02-20T00:00:00"/>
    <s v="Ronald Felipe Peña Cely"/>
    <n v="74081406"/>
    <x v="1"/>
    <s v="https://drive.google.com/drive/folders/1vhJpeY4VqiOwYzZvxEr-Zo7ZAKjd22nt?usp=sharing"/>
    <n v="3128921226"/>
    <x v="1"/>
    <s v="Meta"/>
    <e v="#REF!"/>
    <s v="RCE_260224_63"/>
    <m/>
    <m/>
    <s v="Sí"/>
    <s v="Equipo Técnico Territorial"/>
    <s v="No"/>
    <m/>
    <m/>
    <m/>
  </r>
  <r>
    <d v="2026-02-20T00:00:00"/>
    <s v="Manuel Mauricio Gutiérrez Tovar "/>
    <n v="1080293304"/>
    <x v="1"/>
    <s v="https://drive.google.com/drive/folders/1SA_tsCijZdDNlEuhKXTQdZbUDjkc0yAF?usp=sharing"/>
    <n v="8782222"/>
    <x v="0"/>
    <s v="Huila"/>
    <s v="Palermo"/>
    <s v="RCE_260224_63_x000a_ RCE_260227_66"/>
    <m/>
    <m/>
    <s v="Sí"/>
    <s v="Equipo Técnico Territorial"/>
    <s v="No"/>
    <m/>
    <m/>
    <m/>
  </r>
  <r>
    <s v="7/01/2026_x000a_03/02/2026_x000a_03/03/2026"/>
    <s v="DIANA PATRICIA MORA CAICEDO"/>
    <n v="35377807"/>
    <x v="7"/>
    <s v="https://drive.google.com/drive/folders/1cv9Rbp7o6QhtLYdRXlPA92KziTevnpc2?usp=share_link"/>
    <n v="3045116112"/>
    <x v="4"/>
    <s v="Cundinamarca"/>
    <s v="El colegio"/>
    <s v="RCE_260304_70"/>
    <s v="RCE_260109_12_x000a_RCE_260209_44"/>
    <d v="2026-01-13T00:00:00"/>
    <s v="Sí"/>
    <s v="Equipo Nacional"/>
    <s v="No"/>
    <s v="No Aprobado"/>
    <m/>
    <m/>
  </r>
  <r>
    <d v="2026-03-03T00:00:00"/>
    <s v="HÉCTOR GABRIEL ORTIZ SOLANO"/>
    <n v="7700268"/>
    <x v="1"/>
    <s v="https://drive.google.com/drive/folders/10IEFd2AbsBruyfyWzOlhYQqf3dTQBwqV?usp=sharing"/>
    <s v="8645667-3144710291"/>
    <x v="0"/>
    <s v="Huila"/>
    <e v="#REF!"/>
    <s v="RCE_260304_70"/>
    <m/>
    <m/>
    <s v="Sí"/>
    <s v="Equipo Técnico Territorial"/>
    <s v="No"/>
    <m/>
    <m/>
    <m/>
  </r>
  <r>
    <d v="2026-03-03T00:00:00"/>
    <s v="CARLOS AUGUSTO RUIZ GONZALEZ"/>
    <n v="1049613411"/>
    <x v="2"/>
    <s v="https://drive.google.com/drive/folders/1jjhMMJYcUPEM9zXcJb9opySXgbAnCDIJ?usp=sharing"/>
    <n v="3108962400"/>
    <x v="1"/>
    <s v="Boyaca"/>
    <e v="#REF!"/>
    <s v="RCE_260304_70"/>
    <m/>
    <m/>
    <s v="Sí"/>
    <s v="Equipo Técnico Territorial"/>
    <s v="No"/>
    <m/>
    <m/>
    <m/>
  </r>
  <r>
    <d v="2026-03-03T00:00:00"/>
    <s v="Cristhian Camilo Salas Cardozo"/>
    <n v="1100956639"/>
    <x v="1"/>
    <s v="https://drive.google.com/drive/folders/1ozdKGPMCEyjoPRn_TTTRgca6lwYDTrYk?usp=sharing"/>
    <s v="3208213366 - 3006179152"/>
    <x v="1"/>
    <s v="Santander"/>
    <e v="#REF!"/>
    <s v="RCE_260304_70"/>
    <m/>
    <m/>
    <s v="Sí"/>
    <s v="Equipo Técnico Territorial"/>
    <s v="No"/>
    <m/>
    <m/>
    <m/>
  </r>
  <r>
    <d v="2026-03-03T00:00:00"/>
    <s v="José Fernando Dussán Díaz"/>
    <n v="1075260621"/>
    <x v="1"/>
    <s v="https://drive.google.com/drive/folders/1N4dcEjZy1T9dPtG-mr8Ch7OC-OOZXqgs?usp=sharing"/>
    <s v="3163978877 - 3107871859"/>
    <x v="0"/>
    <s v="Huila"/>
    <e v="#REF!"/>
    <s v="RCE_260304_70"/>
    <m/>
    <m/>
    <s v="Sí"/>
    <s v="Equipo Técnico Territorial"/>
    <s v="No"/>
    <m/>
    <m/>
    <m/>
  </r>
  <r>
    <d v="2026-03-03T00:00:00"/>
    <s v="THALIA FERNANDA SEQUEDA"/>
    <n v="1102384214"/>
    <x v="5"/>
    <s v="https://drive.google.com/drive/folders/1jfHbPMLa4qj3yUWtK8XVh1M71hP8dEmd?usp=sharing"/>
    <n v="3155203877"/>
    <x v="0"/>
    <s v="Bogotá"/>
    <s v="Bogotá"/>
    <s v="RCE_260304_70"/>
    <m/>
    <m/>
    <s v="Sí"/>
    <s v="Equipo Nacional"/>
    <s v="No"/>
    <m/>
    <m/>
    <m/>
  </r>
  <r>
    <d v="2026-03-03T00:00:00"/>
    <s v="INDHIRA PATRICIA RAMOS ROJAS"/>
    <n v="40780086"/>
    <x v="2"/>
    <s v="https://drive.google.com/drive/folders/18l1B6oUWsxUAp6jkQJap7Qk1yzaw8J41?usp=sharing"/>
    <n v="3103058472"/>
    <x v="0"/>
    <s v="Caquetá"/>
    <e v="#REF!"/>
    <s v="RCE_260304_70"/>
    <m/>
    <m/>
    <s v="Sí"/>
    <s v="Equipo Técnico Territorial"/>
    <s v="No"/>
    <m/>
    <m/>
    <m/>
  </r>
  <r>
    <d v="2026-03-03T00:00:00"/>
    <s v="CARMEN CECILIA CASALINS ROMERO"/>
    <n v="57208222"/>
    <x v="2"/>
    <s v="https://drive.google.com/drive/folders/1nrHrggu9N2FNnHGUwtWDSLVJf_YpMq6J?usp=sharing"/>
    <n v="3106912038"/>
    <x v="2"/>
    <s v="Magdalena"/>
    <e v="#REF!"/>
    <s v="RCE_260304_70"/>
    <m/>
    <m/>
    <s v="Sí"/>
    <s v="Equipo Técnico Territorial"/>
    <s v="No"/>
    <m/>
    <m/>
    <m/>
  </r>
  <r>
    <d v="2026-03-03T00:00:00"/>
    <s v="CHRISTIAN JAVIER QUIÑONES A."/>
    <n v="4617197"/>
    <x v="1"/>
    <s v="https://drive.google.com/drive/folders/13LiyMHiKG3PcFnCeQulhISYolbZa11p7?usp=sharing"/>
    <n v="3108702287"/>
    <x v="3"/>
    <s v="Cauca"/>
    <e v="#REF!"/>
    <s v="RCE_260304_70"/>
    <m/>
    <m/>
    <s v="Sí"/>
    <s v="Equipo Técnico Territorial"/>
    <s v="No"/>
    <m/>
    <m/>
    <m/>
  </r>
  <r>
    <d v="2026-03-03T00:00:00"/>
    <s v="DIANA MARIA LOPEZ RAMIREZ"/>
    <n v="43274119"/>
    <x v="1"/>
    <s v="https://drive.google.com/drive/folders/1Zyxq-FSyXpJk-tv_sQMZbOUctMGC3Us8?usp=sharing"/>
    <n v="3114524280"/>
    <x v="0"/>
    <s v="Caquetá"/>
    <e v="#REF!"/>
    <s v="RCE_260304_70"/>
    <m/>
    <m/>
    <s v="Sí"/>
    <s v="Equipo Técnico Territorial"/>
    <s v="No"/>
    <m/>
    <m/>
    <m/>
  </r>
  <r>
    <d v="2026-03-03T00:00:00"/>
    <s v="DANIEL FERNANDO SANCHEZ WUALTEROS"/>
    <n v="1116863221"/>
    <x v="1"/>
    <s v="https://drive.google.com/drive/folders/1B2_TToDclpQuYi00j9FKskawk5_gf0kC?usp=sharing"/>
    <n v="3209543976"/>
    <x v="4"/>
    <s v="Arauca"/>
    <e v="#REF!"/>
    <s v="RCE_260304_70"/>
    <m/>
    <m/>
    <s v="Sí"/>
    <s v="Equipo Técnico Territorial"/>
    <s v="No"/>
    <m/>
    <m/>
    <m/>
  </r>
  <r>
    <d v="2026-03-03T00:00:00"/>
    <s v="ADRIAN FERNANDO SUAREZ GARTNER"/>
    <n v="4519046"/>
    <x v="1"/>
    <s v="https://drive.google.com/drive/folders/1L2LqDJNxeUkDVCQt3wFUjChQ8NIZih6n?usp=sharing"/>
    <n v="3045699047"/>
    <x v="4"/>
    <s v="Caldas"/>
    <e v="#REF!"/>
    <s v="RCE_260304_70"/>
    <m/>
    <m/>
    <s v="Sí"/>
    <s v="Equipo Técnico Territorial"/>
    <s v="No"/>
    <m/>
    <m/>
    <m/>
  </r>
  <r>
    <d v="2026-03-03T00:00:00"/>
    <s v="YOHANA DARSI SIERRA HERNANDEZ"/>
    <n v="36718425"/>
    <x v="1"/>
    <s v="https://drive.google.com/drive/folders/1uiKjNUB0QQuNtuzMQfDOC39eoiPdwJjv?usp=sharing"/>
    <n v="3173728971"/>
    <x v="2"/>
    <s v="Magdalena"/>
    <e v="#REF!"/>
    <s v="RCE_260304_70"/>
    <m/>
    <m/>
    <s v="Sí"/>
    <s v="Equipo Técnico Territorial"/>
    <s v="Sí"/>
    <m/>
    <m/>
    <m/>
  </r>
  <r>
    <d v="2026-03-03T00:00:00"/>
    <s v="MARINELLA SÁNCHEZ PARRA"/>
    <n v="40093428"/>
    <x v="2"/>
    <s v="https://drive.google.com/drive/folders/1rkSrfVhrjgS_Ez1KnRbpjaJYaFDok1wE?usp=sharing"/>
    <s v="3219991956-3209015717"/>
    <x v="0"/>
    <s v="Caquetá"/>
    <e v="#REF!"/>
    <s v="RCE_260304_70"/>
    <m/>
    <m/>
    <s v="Sí"/>
    <s v="Equipo Técnico Territorial"/>
    <s v="No"/>
    <m/>
    <m/>
    <m/>
  </r>
  <r>
    <d v="2026-03-03T00:00:00"/>
    <s v="Zamir Alfonso Arévalo López"/>
    <n v="91521693"/>
    <x v="6"/>
    <s v="https://drive.google.com/drive/folders/1VzcMQmEBL4u_08Ru15sFVXWnSGLk8M66?usp=sharing"/>
    <n v="3204549403"/>
    <x v="1"/>
    <s v="Arauca"/>
    <e v="#REF!"/>
    <s v="RCE_260305_72_x000a_RCE_260318_76_x000a_"/>
    <s v=" RCE_260304_71"/>
    <m/>
    <s v="Sí"/>
    <s v="Equipo Nacional"/>
    <s v="No"/>
    <m/>
    <m/>
    <m/>
  </r>
  <r>
    <s v="7/01/2026_x000a_16/03/2026"/>
    <s v="JERSON STIVEN GARCIA PICON"/>
    <n v="1098812449"/>
    <x v="5"/>
    <s v="https://drive.google.com/drive/folders/1g2UZ9p3ff192jGokvNBKV2UmCrPWoozy"/>
    <n v="3112637825"/>
    <x v="1"/>
    <s v="Santander"/>
    <s v="Bucaramanga"/>
    <s v="RCE_260318_76"/>
    <s v="RCE_260109_12"/>
    <d v="2026-01-13T00:00:00"/>
    <s v="Sí"/>
    <s v="Equipo Nacional"/>
    <s v="No"/>
    <s v="No Aprobado"/>
    <m/>
    <m/>
  </r>
  <r>
    <s v="28/01/2026_x000a_16/03/2026"/>
    <s v="Carlos Arturo Blanco"/>
    <n v="92524049"/>
    <x v="1"/>
    <s v="https://drive.google.com/drive/folders/1Reyte8RxdC2NYciwJbPzdHFgOygtEmCX?usp=sharing"/>
    <n v="3244489414"/>
    <x v="2"/>
    <s v="Sucre"/>
    <e v="#REF!"/>
    <s v="RCE_260318_76"/>
    <s v="RCE_260131_36"/>
    <d v="2026-02-09T00:00:00"/>
    <s v="Sí"/>
    <s v="Equipo Técnico Territorial"/>
    <s v="No"/>
    <s v="No Aprobado"/>
    <m/>
    <m/>
  </r>
  <r>
    <s v="20/02/2026_x000a_16/03/2026"/>
    <s v="Andrea Aguirre Rodriguez"/>
    <n v="52838707"/>
    <x v="2"/>
    <s v="https://drive.google.com/drive/folders/17GRyaEweNyvpCN5J4LxmVt-pdab6DXx0?usp=sharing"/>
    <s v="3123938136 /3044568349"/>
    <x v="0"/>
    <s v="Bogotá"/>
    <s v="Bogotá"/>
    <s v="RCE_260318_76"/>
    <s v="RCE_260220_56"/>
    <d v="2026-02-23T00:00:00"/>
    <s v="Sí"/>
    <s v="Equipo Técnico Territorial"/>
    <s v="No"/>
    <s v="No Aprobado"/>
    <m/>
    <m/>
  </r>
  <r>
    <d v="2026-03-16T00:00:00"/>
    <s v="RUBEN DARIO VILLADA PEREA"/>
    <n v="6497712"/>
    <x v="1"/>
    <s v="https://drive.google.com/drive/folders/1dLWfY5LNpeBuLAKfNVq-ck7lwJ3y7zhg?usp=sharing"/>
    <n v="3125921087"/>
    <x v="2"/>
    <s v="Córdoba"/>
    <e v="#REF!"/>
    <s v="RCE_260318_76"/>
    <m/>
    <m/>
    <s v="Sí"/>
    <s v="Equipo Técnico Territorial"/>
    <s v="No"/>
    <m/>
    <m/>
    <m/>
  </r>
  <r>
    <d v="2026-03-16T00:00:00"/>
    <s v="CLAUDIA DIAZ TRIANA"/>
    <n v="52286867"/>
    <x v="1"/>
    <s v="https://drive.google.com/drive/folders/1Mldl7aab-edQnLNk9av50WS_JyU5mt2_?usp=sharing"/>
    <s v="3143437579 - 3028438858"/>
    <x v="0"/>
    <s v="Guaviare "/>
    <e v="#REF!"/>
    <s v="RCE_260318_76"/>
    <m/>
    <m/>
    <s v="Sí"/>
    <s v="Equipo Técnico Territorial"/>
    <s v="Sí"/>
    <m/>
    <m/>
    <m/>
  </r>
  <r>
    <d v="2026-03-16T00:00:00"/>
    <s v="ANA ROSIRIS PUELLO NORIEGA"/>
    <n v="50898623"/>
    <x v="2"/>
    <s v="https://drive.google.com/drive/folders/1EBYxxy6WLTcAfcHJM7LuoVULYsZKF2Bq?usp=sharing"/>
    <n v="3113886665"/>
    <x v="2"/>
    <s v="Córdoba"/>
    <e v="#REF!"/>
    <s v="RCE_260318_76"/>
    <m/>
    <m/>
    <s v="Sí"/>
    <s v="Equipo Técnico Territorial"/>
    <s v="No"/>
    <m/>
    <m/>
    <m/>
  </r>
  <r>
    <d v="2026-03-16T00:00:00"/>
    <s v="CRISTIAN CAMILO CORTEZ SEQUEDA"/>
    <n v="1102877553"/>
    <x v="1"/>
    <s v="https://drive.google.com/drive/folders/1SyHvafwdoDvTgufRamYtXXnSsxgf6dDn?usp=sharing"/>
    <n v="3023527494"/>
    <x v="2"/>
    <s v="Chocó"/>
    <e v="#REF!"/>
    <s v="RCE_260318_76"/>
    <m/>
    <m/>
    <s v="Sí"/>
    <s v="Equipo Técnico Territorial"/>
    <s v="No"/>
    <m/>
    <m/>
    <m/>
  </r>
  <r>
    <d v="2026-03-16T00:00:00"/>
    <s v="JESÚS DAVID MARTÍNEZ GUERRERO"/>
    <n v="1102866236"/>
    <x v="2"/>
    <s v="https://drive.google.com/drive/folders/15yu2sW_yqQ1hq_YCaf4PT3s7LfL8P3uQ?usp=sharing"/>
    <n v="3205274671"/>
    <x v="2"/>
    <s v="Bolívar"/>
    <e v="#REF!"/>
    <s v="RCE_260318_76"/>
    <m/>
    <m/>
    <s v="Sí"/>
    <s v="Equipo Técnico Territorial"/>
    <s v="No"/>
    <m/>
    <m/>
    <m/>
  </r>
  <r>
    <d v="2026-03-16T00:00:00"/>
    <s v="LILIANA TERESA BENÍTEZ ÁLVAREZ"/>
    <n v="64561402"/>
    <x v="2"/>
    <s v="https://drive.google.com/drive/folders/1jX41qjT693O7cc7MIkHAsIXYzVgDrWXO?usp=sharing"/>
    <n v="3008374225"/>
    <x v="2"/>
    <s v="Sucre"/>
    <e v="#REF!"/>
    <s v="RCE_260318_76"/>
    <m/>
    <m/>
    <s v="Sí"/>
    <s v="Equipo Técnico Territorial"/>
    <s v="No"/>
    <m/>
    <m/>
    <m/>
  </r>
  <r>
    <d v="2026-03-16T00:00:00"/>
    <s v="MILENA DEL CARMEN DURANGO R."/>
    <n v="25786528"/>
    <x v="2"/>
    <s v="https://drive.google.com/drive/folders/1Au99cZoquveNW3Phx1qp5FsWL-N3afZg?usp=sharing"/>
    <n v="3013775664"/>
    <x v="2"/>
    <s v="Córdoba"/>
    <e v="#REF!"/>
    <s v="RCE_260318_76"/>
    <m/>
    <m/>
    <s v="Sí"/>
    <s v="Equipo Técnico Territorial"/>
    <s v="No"/>
    <m/>
    <m/>
    <m/>
  </r>
  <r>
    <d v="2026-03-16T00:00:00"/>
    <s v="zARNOL DANILO BUELVAS G."/>
    <n v="77020466"/>
    <x v="2"/>
    <s v="https://drive.google.com/drive/folders/1nYOKTPWVkrtncnWjQAvWSEW8fyjKh0Hy?usp=sharing"/>
    <n v="3117255709"/>
    <x v="2"/>
    <s v="Cesar"/>
    <e v="#REF!"/>
    <s v="RCE_260318_76"/>
    <m/>
    <m/>
    <s v="Sí"/>
    <s v="Equipo Técnico Territorial"/>
    <s v="No"/>
    <m/>
    <m/>
    <m/>
  </r>
  <r>
    <d v="2026-03-16T00:00:00"/>
    <s v="SANDRA LORENA PAZ GUTIÉRREZ"/>
    <n v="1078918155"/>
    <x v="1"/>
    <s v="https://drive.google.com/drive/folders/1tYuCUjZ0gsttNAf0dQ_51S0dGa6A3lLz?usp=sharing"/>
    <n v="3127643163"/>
    <x v="3"/>
    <s v="Chocó"/>
    <e v="#REF!"/>
    <s v="RCE_260318_76"/>
    <m/>
    <m/>
    <s v="Sí"/>
    <s v="Equipo Técnico Territorial"/>
    <s v="No"/>
    <m/>
    <m/>
    <m/>
  </r>
  <r>
    <d v="2026-03-16T00:00:00"/>
    <s v="ANDRES ALFONSO PINTO CORDOBA"/>
    <n v="12647338"/>
    <x v="1"/>
    <s v="https://drive.google.com/drive/folders/1wUbiz3bbBMnaDwqZ0Y16vzL0UBjQLo0y?usp=sharing"/>
    <n v="3128186985"/>
    <x v="2"/>
    <s v="Cesar"/>
    <e v="#REF!"/>
    <s v="RCE_260318_76"/>
    <m/>
    <m/>
    <s v="Sí"/>
    <s v="Equipo Técnico Territorial"/>
    <s v="No"/>
    <m/>
    <m/>
    <m/>
  </r>
  <r>
    <d v="2026-03-16T00:00:00"/>
    <s v="CLAUDIA JANETH ROBLES LÓPEZ"/>
    <n v="49609120"/>
    <x v="1"/>
    <s v="https://drive.google.com/drive/folders/1B0qwjj0xO9VVStCn76-q_H9ey_rGcsYJ?usp=sharing"/>
    <s v="317 681 04 58"/>
    <x v="2"/>
    <s v="Cesar"/>
    <e v="#REF!"/>
    <s v="RCE_260318_76"/>
    <m/>
    <m/>
    <s v="Sí"/>
    <s v="Equipo Técnico Territorial"/>
    <s v="No"/>
    <m/>
    <m/>
    <m/>
  </r>
  <r>
    <d v="2026-03-16T00:00:00"/>
    <s v="LEONARDO FAVIO FUENTES RHÉNALS"/>
    <n v="78026323"/>
    <x v="1"/>
    <s v="https://drive.google.com/drive/folders/1xH1a7mu4p1pNKc6sMKTSTcTpS6xp29OA?usp=sharing"/>
    <n v="3152877554"/>
    <x v="2"/>
    <s v="Córdoba"/>
    <e v="#REF!"/>
    <s v="RCE_260318_76"/>
    <m/>
    <m/>
    <s v="Sí"/>
    <s v="Equipo Técnico Territorial"/>
    <s v="Sí"/>
    <m/>
    <m/>
    <m/>
  </r>
  <r>
    <d v="2026-03-16T00:00:00"/>
    <s v="JESÚS RICARDO MÉNDEZ GAMARRA"/>
    <n v="9021076"/>
    <x v="1"/>
    <s v="https://drive.google.com/drive/folders/1Dpaom8thc9xUYc7w8La6o5ByKBWVhXDv?usp=sharing"/>
    <n v="3148671578"/>
    <x v="2"/>
    <s v="Bolívar"/>
    <e v="#REF!"/>
    <s v="RCE_260318_76"/>
    <m/>
    <m/>
    <s v="Sí"/>
    <s v="Equipo Técnico Territorial"/>
    <s v="No"/>
    <m/>
    <m/>
    <m/>
  </r>
  <r>
    <d v="2026-03-16T00:00:00"/>
    <s v="ERIKA PATRICIA RODRÍGUEZ PEREZ"/>
    <n v="1124028149"/>
    <x v="2"/>
    <s v="https://drive.google.com/drive/folders/1Yi-6oZjYJ_E4CBAIXnLoWMJUMKV25f97?usp=sharing"/>
    <n v="3106681103"/>
    <x v="2"/>
    <s v="La guajira"/>
    <e v="#REF!"/>
    <s v="RCE_260318_76"/>
    <m/>
    <m/>
    <s v="Sí"/>
    <s v="Equipo Técnico Territorial"/>
    <s v="No"/>
    <m/>
    <m/>
    <m/>
  </r>
  <r>
    <d v="2026-03-16T00:00:00"/>
    <s v="CARLOS JAVIER CONTRERAS DE HOYOS"/>
    <n v="92529616"/>
    <x v="1"/>
    <s v="https://drive.google.com/drive/folders/1GlkTi2kH4XzvaB0nsxT6Xsguu0FEMmkP?usp=sharing"/>
    <n v="3147947891"/>
    <x v="2"/>
    <s v="Bolívar"/>
    <e v="#REF!"/>
    <s v="RCE_260318_76"/>
    <m/>
    <m/>
    <s v="Sí"/>
    <s v="Equipo Técnico Territorial"/>
    <s v="Sí"/>
    <m/>
    <m/>
    <m/>
  </r>
  <r>
    <d v="2026-03-16T00:00:00"/>
    <s v="Dalgis del Pilar Sánchez Jiménez"/>
    <n v="57270268"/>
    <x v="2"/>
    <s v="https://drive.google.com/drive/folders/1OoZl3po0V8aLStTnuQJMQQxVgwGDEqvA?usp=sharing"/>
    <n v="3014864360"/>
    <x v="2"/>
    <s v="Magdalena"/>
    <e v="#REF!"/>
    <s v="RCE_260318_76"/>
    <m/>
    <m/>
    <s v="Sí"/>
    <s v="Equipo Técnico Territorial"/>
    <s v="No"/>
    <m/>
    <m/>
    <m/>
  </r>
  <r>
    <d v="2026-03-16T00:00:00"/>
    <s v="Sergio Roman Restrepo Bueno"/>
    <n v="1082907263"/>
    <x v="2"/>
    <s v="https://drive.google.com/drive/folders/1JsKUem9Ta2gDdasgUqXbJm-kOzVw6bgQ?usp=sharing"/>
    <n v="3017399269"/>
    <x v="2"/>
    <s v="Cesar"/>
    <e v="#REF!"/>
    <s v="RCE_260318_76"/>
    <m/>
    <m/>
    <s v="Sí"/>
    <s v="Equipo Técnico Territorial"/>
    <s v="No"/>
    <m/>
    <m/>
    <m/>
  </r>
  <r>
    <d v="2026-03-16T00:00:00"/>
    <s v="KAREN YULIETH BERMUDEZ VIEDA"/>
    <n v="36067548"/>
    <x v="2"/>
    <s v="https://drive.google.com/drive/folders/1eTjpDic2x4YtlRkmgU2x8JPK5o0Kwff6?usp=sharing"/>
    <n v="3184674047"/>
    <x v="0"/>
    <s v="Huila"/>
    <e v="#REF!"/>
    <s v="RCE_260318_76"/>
    <m/>
    <m/>
    <s v="Sí"/>
    <s v="Equipo Técnico Territorial"/>
    <s v="No"/>
    <m/>
    <m/>
    <m/>
  </r>
  <r>
    <d v="2026-03-16T00:00:00"/>
    <s v="LEYDY EVONNE LOPEZ PALECHOR"/>
    <n v="34325427"/>
    <x v="2"/>
    <s v="https://drive.google.com/drive/folders/1Tj63MMlbl8W54KgTeiO17tV1VfWkwUWo?usp=sharing"/>
    <n v="3147320974"/>
    <x v="3"/>
    <s v="Cauca"/>
    <e v="#REF!"/>
    <s v="RCE_260318_76"/>
    <m/>
    <m/>
    <s v="Sí"/>
    <s v="Equipo Técnico Territorial"/>
    <s v="No"/>
    <m/>
    <m/>
    <m/>
  </r>
  <r>
    <d v="2026-03-16T00:00:00"/>
    <s v="ANZULA NIÑO RUIZ"/>
    <n v="52959552"/>
    <x v="1"/>
    <s v="https://drive.google.com/drive/folders/1TWBevP9-YRK8bA22jvvJqSnQt3OwNuLF?usp=sharing"/>
    <s v="310 5574417"/>
    <x v="0"/>
    <s v="Vichada"/>
    <e v="#REF!"/>
    <s v="RCE_260318_76"/>
    <m/>
    <m/>
    <s v="Sí"/>
    <s v="Equipo Técnico Territorial"/>
    <s v="Sí"/>
    <m/>
    <m/>
    <m/>
  </r>
  <r>
    <d v="2026-03-16T00:00:00"/>
    <s v="DINA JULIETH FRANCO TORRES"/>
    <n v="1120560715"/>
    <x v="1"/>
    <s v="https://drive.google.com/drive/folders/1EGex_RJoo__ZICkryVVjtK0ntDDncj07?usp=sharing"/>
    <n v="3213275620"/>
    <x v="0"/>
    <s v="Bogotá"/>
    <s v="Bogotá"/>
    <s v="RCE_260318_76"/>
    <m/>
    <m/>
    <s v="Sí"/>
    <s v="Equipo Técnico Territorial"/>
    <s v="No"/>
    <m/>
    <m/>
    <m/>
  </r>
  <r>
    <d v="2026-03-16T00:00:00"/>
    <s v="CLAUDIA MARCELA CASTAÑO GONZÁLEZ"/>
    <n v="40332052"/>
    <x v="1"/>
    <s v="https://drive.google.com/drive/folders/1m5cT2UZF89k-e-Ua5VscDeu8-Ep-1yKV?usp=sharing"/>
    <n v="3134333393"/>
    <x v="0"/>
    <s v="Meta"/>
    <e v="#REF!"/>
    <s v="RCE_260318_76"/>
    <m/>
    <m/>
    <s v="Sí"/>
    <s v="Equipo Técnico Territorial"/>
    <s v="Sí"/>
    <m/>
    <m/>
    <m/>
  </r>
  <r>
    <d v="2026-03-16T00:00:00"/>
    <s v="RUBI ENITH ROJAS CORDOBA"/>
    <n v="1117494083"/>
    <x v="1"/>
    <s v="https://drive.google.com/drive/folders/1RJKPWkUylsXMTbtd3O-GgFf2WhO1kz6a?usp=sharing"/>
    <n v="3132304451"/>
    <x v="0"/>
    <s v="Caquetá"/>
    <e v="#REF!"/>
    <s v="RCE_260318_76"/>
    <m/>
    <m/>
    <s v="Sí"/>
    <s v="Equipo Técnico Territorial"/>
    <s v="Sí"/>
    <m/>
    <m/>
    <m/>
  </r>
  <r>
    <d v="2026-03-16T00:00:00"/>
    <s v="DORIAN ELECER BARANDICA CARVAJAL"/>
    <n v="94415090"/>
    <x v="1"/>
    <s v="https://drive.google.com/drive/folders/1682ucS_kuRLY5KIoS2ax_Qo7PBl_6yMO?usp=sharing"/>
    <s v="311 726 6455"/>
    <x v="3"/>
    <s v="Valle del Cauca"/>
    <e v="#REF!"/>
    <s v="RCE_260318_76"/>
    <m/>
    <m/>
    <s v="Sí"/>
    <s v="Equipo Técnico Territorial"/>
    <s v="No"/>
    <m/>
    <m/>
    <m/>
  </r>
  <r>
    <d v="2026-03-16T00:00:00"/>
    <s v="BLANCA RUBIELA CUBIDES LOPEZ"/>
    <n v="33645219"/>
    <x v="1"/>
    <s v="https://drive.google.com/drive/folders/1r062__69yS3bUkK11teBD89cMPmIHfRI?usp=sharing"/>
    <n v="3214518163"/>
    <x v="0"/>
    <s v="Boyacá"/>
    <e v="#REF!"/>
    <s v="RCE_260318_76"/>
    <m/>
    <m/>
    <s v="Sí"/>
    <s v="Equipo Técnico Territorial"/>
    <s v="No"/>
    <m/>
    <m/>
    <m/>
  </r>
  <r>
    <d v="2026-03-16T00:00:00"/>
    <s v="PEDRO ENRIQUE WATTS FERNANDEZ"/>
    <n v="78690475"/>
    <x v="1"/>
    <s v="https://drive.google.com/drive/folders/1Sld_Sbbv0JlwboEK7Tkkszo9bvsgbd7G?usp=sharing"/>
    <n v="3008386805"/>
    <x v="2"/>
    <s v="Córdoba"/>
    <e v="#REF!"/>
    <s v="RCE_260318_76"/>
    <m/>
    <m/>
    <s v="Sí"/>
    <s v="Equipo Técnico Territorial"/>
    <s v="Sí"/>
    <m/>
    <m/>
    <m/>
  </r>
  <r>
    <d v="2026-03-16T00:00:00"/>
    <s v="YONIER SAMIR FERNANDEZ LEON"/>
    <n v="1059597100"/>
    <x v="1"/>
    <s v="https://drive.google.com/drive/folders/10N6nHv-D8H-PDxfLf7uEl89UexzXgKLP?usp=sharing"/>
    <n v="3178950032"/>
    <x v="3"/>
    <s v="Cauca"/>
    <e v="#REF!"/>
    <s v="RCE_260318_76"/>
    <m/>
    <m/>
    <s v="Sí"/>
    <s v="Equipo Técnico Territorial"/>
    <s v="Sí"/>
    <m/>
    <m/>
    <m/>
  </r>
  <r>
    <d v="2026-03-16T00:00:00"/>
    <s v="YECENIA MENA CÓRDOBA"/>
    <n v="1077440695"/>
    <x v="1"/>
    <s v="https://drive.google.com/drive/folders/11Y-NusdShMroU2xrVpxgQramkvJQPKJO?usp=sharing"/>
    <n v="3137061306"/>
    <x v="3"/>
    <s v="Chocó"/>
    <e v="#REF!"/>
    <s v="RCE_260318_76"/>
    <m/>
    <m/>
    <s v="Sí"/>
    <s v="Equipo Técnico Territorial"/>
    <s v="Sí"/>
    <m/>
    <m/>
    <m/>
  </r>
  <r>
    <d v="2026-03-16T00:00:00"/>
    <s v="LORLEYVIS MACHADO CAICEDO"/>
    <n v="1077453140"/>
    <x v="1"/>
    <s v="https://drive.google.com/drive/folders/1norfYiRxpNF8VYJYuV83gb2YqB80CvxY?usp=sharing"/>
    <n v="3123211116"/>
    <x v="3"/>
    <s v="Chocó"/>
    <e v="#REF!"/>
    <s v="RCE_260318_76"/>
    <m/>
    <m/>
    <s v="Sí"/>
    <s v="Equipo Técnico Territorial"/>
    <s v="Sí"/>
    <m/>
    <m/>
    <m/>
  </r>
  <r>
    <d v="2026-03-16T00:00:00"/>
    <s v="Jenny Liliana Giraldo Marin"/>
    <n v="42091738"/>
    <x v="1"/>
    <s v="https://drive.google.com/drive/folders/1i6GvPnH_pwUDGWsdt96wiZCIsQCKphuZ?usp=sharing"/>
    <n v="3122574454"/>
    <x v="4"/>
    <s v="Risaralda"/>
    <e v="#REF!"/>
    <s v="RCE_260318_76"/>
    <m/>
    <m/>
    <s v="Sí"/>
    <s v="Equipo Técnico Territorial"/>
    <s v="Sí"/>
    <m/>
    <m/>
    <m/>
  </r>
  <r>
    <d v="2026-03-16T00:00:00"/>
    <s v="Dairo Alberto Henao Ramirez"/>
    <n v="1036397651"/>
    <x v="1"/>
    <s v="https://drive.google.com/drive/folders/11JyktD0BVp2mmRX3L98B4mV7fjzyD_Rz?usp=sharing"/>
    <n v="3146168152"/>
    <x v="4"/>
    <s v="Antioquia"/>
    <e v="#REF!"/>
    <s v="RCE_260318_76"/>
    <m/>
    <m/>
    <s v="Sí"/>
    <s v="Equipo Técnico Territorial"/>
    <s v="No"/>
    <m/>
    <m/>
    <m/>
  </r>
  <r>
    <d v="2026-03-16T00:00:00"/>
    <s v="Luz Nancy Gomez Cardenas"/>
    <n v="24988900"/>
    <x v="1"/>
    <s v="https://drive.google.com/drive/folders/1fm0ky-ddmp84Ol4V-MLjr2StrkKmMdyH?usp=sharing"/>
    <n v="3144449861"/>
    <x v="4"/>
    <s v="Quindío"/>
    <e v="#REF!"/>
    <s v="RCE_260318_76"/>
    <m/>
    <m/>
    <s v="Sí"/>
    <s v="Equipo Técnico Territorial"/>
    <s v="No"/>
    <m/>
    <m/>
    <m/>
  </r>
  <r>
    <s v="10/03/2026 mediante oficio RAI_260310_7 "/>
    <s v="Vanessa López León"/>
    <n v="1020834140"/>
    <x v="3"/>
    <s v="https://drive.google.com/drive/folders/1RwFL2d6GEt6ssb5Le2zZcsqF9fnln8aD "/>
    <n v="3227744669"/>
    <x v="3"/>
    <s v="Bogotá"/>
    <s v="Bogotá"/>
    <s v="RCE_260318_76"/>
    <m/>
    <m/>
    <s v="Sí"/>
    <s v="Equipo Nacional"/>
    <s v="Sí"/>
    <m/>
    <m/>
    <m/>
  </r>
  <r>
    <d v="2026-02-09T00:00:00"/>
    <s v="Diego Fernando Lalinde Sánchez "/>
    <n v="1053842964"/>
    <x v="2"/>
    <s v="https://drive.google.com/drive/folders/1B4TYmOxxT-_e-ZoSCYynMskZGPXMVYwJ?usp=sharing"/>
    <n v="3167762808"/>
    <x v="4"/>
    <n v="0"/>
    <e v="#REF!"/>
    <m/>
    <s v=" RCE_260228_68 "/>
    <m/>
    <s v="No"/>
    <s v="Equipo Técnico Territorial"/>
    <s v="No"/>
    <m/>
    <m/>
    <m/>
  </r>
  <r>
    <d v="2026-03-03T00:00:00"/>
    <s v="ALVARO LORZA PITT"/>
    <n v="80550330"/>
    <x v="2"/>
    <s v="https://drive.google.com/drive/folders/1sqdjmuxlKc0xNgoi7_fI35DWmsdSDzi7?usp=sharing"/>
    <s v="312 3929444"/>
    <x v="0"/>
    <s v="Bogotá"/>
    <s v="Bogotá"/>
    <m/>
    <s v=" RCE_260304_71"/>
    <m/>
    <s v="No"/>
    <s v="Equipo Técnico Territorial"/>
    <s v="No"/>
    <m/>
    <m/>
    <m/>
  </r>
  <r>
    <d v="2026-03-03T00:00:00"/>
    <s v="LUISA FERNANDA GORDILLO RAMIREZ"/>
    <n v="1053798918"/>
    <x v="2"/>
    <s v="https://drive.google.com/drive/folders/1abUt9H4pTlH0eJ1XF88i_0u5QaKcLCLe?usp=sharing"/>
    <n v="3104038288"/>
    <x v="4"/>
    <s v="Caldas"/>
    <e v="#REF!"/>
    <m/>
    <s v=" RCE_260304_71"/>
    <m/>
    <s v="No"/>
    <s v="Equipo Técnico Territorial"/>
    <s v="No"/>
    <m/>
    <m/>
    <m/>
  </r>
  <r>
    <d v="2026-03-16T00:00:00"/>
    <s v="Amarilis Buelvas Naranjo"/>
    <n v="25914912"/>
    <x v="2"/>
    <s v="https://drive.google.com/drive/folders/1yTI_wZZfGIb0B4v6Zn3D15RgmMKKu_Rd?usp=sharing"/>
    <n v="3008760973"/>
    <x v="3"/>
    <s v="Antioquia"/>
    <e v="#REF!"/>
    <m/>
    <s v=" RCE_260318_75"/>
    <m/>
    <s v="No"/>
    <s v="Equipo Técnico Territorial"/>
    <s v="No"/>
    <m/>
    <m/>
    <m/>
  </r>
  <r>
    <d v="2026-03-16T00:00:00"/>
    <s v="Nahara Keyla Mussy Vega"/>
    <n v="64721391"/>
    <x v="1"/>
    <s v="https://drive.google.com/drive/folders/1Gm_Dy0hSejRiYTFQQVDYgbnDp4NVqlH5?usp=sharing"/>
    <n v="3114046181"/>
    <x v="2"/>
    <s v="Sucre"/>
    <e v="#REF!"/>
    <m/>
    <s v=" RCE_260318_75"/>
    <m/>
    <s v="No"/>
    <s v="Equipo Técnico Territorial"/>
    <s v="No"/>
    <m/>
    <m/>
    <m/>
  </r>
  <r>
    <d v="2026-03-16T00:00:00"/>
    <s v="Maira Casas Rodriguez"/>
    <n v="1030558932"/>
    <x v="1"/>
    <s v="https://drive.google.com/drive/folders/1KqlbHuZMdmxPMVDLqZ24_xJHxcLTFv0Y?usp=sharing"/>
    <n v="3213664209"/>
    <x v="4"/>
    <s v="Bogotá"/>
    <s v="Bogotá"/>
    <m/>
    <s v=" RCE_260318_75"/>
    <m/>
    <s v="No"/>
    <s v="Equipo Técnico Territorial"/>
    <s v="No"/>
    <m/>
    <m/>
    <m/>
  </r>
  <r>
    <d v="2026-03-16T00:00:00"/>
    <s v="Carlos Andres Pinto Duque"/>
    <n v="1003314001"/>
    <x v="1"/>
    <s v="https://drive.google.com/drive/folders/156_5ov1yvfEs2ZBVAp65HH4Kr4xMHZ48?usp=sharing"/>
    <n v="3147459249"/>
    <x v="2"/>
    <s v="Cesar"/>
    <e v="#REF!"/>
    <m/>
    <s v=" RCE_260318_75"/>
    <m/>
    <s v="No"/>
    <s v="Equipo Técnico Territorial"/>
    <s v="No"/>
    <m/>
    <m/>
    <m/>
  </r>
  <r>
    <d v="2026-03-16T00:00:00"/>
    <s v="Angelo Giovanni Santos Muñoz"/>
    <n v="98668020"/>
    <x v="1"/>
    <s v="https://drive.google.com/drive/folders/1gj_DFcERPUJ0ycrXevebvtAYgb8lVC7O?usp=sharing"/>
    <n v="3116300485"/>
    <x v="4"/>
    <s v="Risaralda"/>
    <e v="#REF!"/>
    <m/>
    <s v=" RCE_260318_75"/>
    <m/>
    <s v="No"/>
    <s v="Equipo Técnico Territorial"/>
    <s v="No"/>
    <m/>
    <m/>
    <m/>
  </r>
  <r>
    <d v="2026-03-16T00:00:00"/>
    <s v="Maribel Moreno Escobar"/>
    <n v="52089350"/>
    <x v="2"/>
    <s v="https://drive.google.com/drive/folders/1H1XCM3vT0ijKwQ3rFAx-rl2RES8gJcOv?usp=sharing"/>
    <n v="3213664209"/>
    <x v="4"/>
    <s v="Bogotá"/>
    <s v="Bogotá"/>
    <m/>
    <s v=" RCE_260318_75"/>
    <m/>
    <s v="No"/>
    <s v="Equipo Técnico Territorial"/>
    <s v="No"/>
    <m/>
    <m/>
    <m/>
  </r>
  <r>
    <d v="2025-12-29T00:00:00"/>
    <s v="LADY MILENA MONTENEGRO CHAMORRO "/>
    <n v="1085274934"/>
    <x v="0"/>
    <s v="https://drive.google.com/drive/folders/1bjhPUJFw1r0fo-I4yhovrTfabGMak4Z3?usp=sharing"/>
    <n v="3114938756"/>
    <x v="3"/>
    <s v="Nariño"/>
    <s v="Cumbitara"/>
    <m/>
    <s v="RCE_260102_3"/>
    <d v="2026-01-13T00:00:00"/>
    <s v="No"/>
    <s v="Equipo Técnico Territorial"/>
    <s v="No"/>
    <s v="No Aprobado"/>
    <m/>
    <m/>
  </r>
  <r>
    <d v="2025-12-29T00:00:00"/>
    <s v="DANIEL FELIPE RUIZ PINEDA"/>
    <n v="1030690020"/>
    <x v="6"/>
    <s v="https://drive.google.com/drive/folders/1gzkXW4_VDWwyXZRB995R0QiTIPkrw4oY"/>
    <n v="3204521679"/>
    <x v="0"/>
    <s v="Bogotá"/>
    <s v="Bogotá"/>
    <m/>
    <s v="RCE_260102_3_x000a_RCE_260106_8_x000a_RCE_260106_9"/>
    <d v="2026-01-13T00:00:00"/>
    <s v="No"/>
    <s v="Equipo Nacional"/>
    <s v="No"/>
    <s v="No Aprobado"/>
    <m/>
    <m/>
  </r>
  <r>
    <d v="2026-01-10T00:00:00"/>
    <s v="ELISA MILENA SALINAS"/>
    <n v="1110587428"/>
    <x v="1"/>
    <s v="https://drive.google.com/drive/folders/1ST-puknM5h51OZBZ9rY1vaY3OLhGW9C9?usp=sharing"/>
    <n v="3145801767"/>
    <x v="4"/>
    <s v="Cundinamarca"/>
    <s v="Madrid"/>
    <m/>
    <s v="RCE_260102_3_x000a_RCE_260115_16"/>
    <d v="2026-01-17T00:00:00"/>
    <s v="No"/>
    <s v="Equipo Técnico Territorial"/>
    <s v="No"/>
    <s v="No Aprobado"/>
    <s v="Perfil cumple tb Técnico administrativo regional de apoyo"/>
    <m/>
  </r>
  <r>
    <s v="10/01/2026_x000a_19/01/2026"/>
    <s v="KEVIN ALIR SANCHEZ GÓNGORA"/>
    <n v="1013636954"/>
    <x v="1"/>
    <s v="https://drive.google.com/drive/folders/1ZEd12UffBIbkep9NtU1TuipWGYX-UM0V?usp=sharing"/>
    <s v="3178453574 / 3162233040"/>
    <x v="0"/>
    <s v="Bogotá"/>
    <s v="Bogotá"/>
    <m/>
    <s v="RCE_260102_3_x000a_RCE_260115_16 _x000a_RCE_260121_23"/>
    <d v="2026-01-27T00:00:00"/>
    <s v="No"/>
    <s v="Equipo Técnico Territorial"/>
    <s v="No"/>
    <s v="No Aprobado"/>
    <m/>
    <m/>
  </r>
  <r>
    <d v="2025-12-29T00:00:00"/>
    <s v="ANDRÉS JOSÉ MORA ESQUIVEL "/>
    <n v="1098762070"/>
    <x v="6"/>
    <s v="https://drive.google.com/drive/folders/12l8Y9bUELyJU60_U7--sOnUpsCBV73xv?usp=sharing"/>
    <n v="3186320168"/>
    <x v="1"/>
    <s v="Santander"/>
    <s v="Girón"/>
    <m/>
    <s v="RCE_260105_7_x000a_RCE_260109_12"/>
    <d v="2026-01-13T00:00:00"/>
    <s v="No"/>
    <s v="Equipo Nacional"/>
    <s v="No"/>
    <s v="No Aprobado"/>
    <m/>
    <m/>
  </r>
  <r>
    <d v="2025-12-29T00:00:00"/>
    <s v="RIKY ANDRES CARRILLO CADENA"/>
    <n v="1102724007"/>
    <x v="6"/>
    <s v="https://drive.google.com/drive/folders/1RQBfRYdZzXEYs-tGHykN4pt5FjItF8-Z"/>
    <n v="3132747639"/>
    <x v="0"/>
    <s v="Bogotá"/>
    <s v="Bogotá"/>
    <m/>
    <s v="RCE_260105_7_x000a_RCE_260109_12 RCE_260408_79"/>
    <d v="2026-01-13T00:00:00"/>
    <s v="No"/>
    <s v="Equipo Nacional"/>
    <s v="No"/>
    <s v="No Aprobado"/>
    <m/>
    <m/>
  </r>
  <r>
    <d v="2026-01-03T00:00:00"/>
    <s v="ANASTACIA JULIANA ACEVEDO SANGUINO"/>
    <n v="1007384556"/>
    <x v="5"/>
    <s v="https://drive.google.com/drive/folders/1kGUq8IjKzORdxJXgJXHjuMWyhdf79WQ"/>
    <n v="3229244880"/>
    <x v="1"/>
    <s v="Arauca"/>
    <e v="#REF!"/>
    <m/>
    <s v="RCE_260106_8_x000a_RCE_260106_9"/>
    <d v="2026-01-13T00:00:00"/>
    <s v="No"/>
    <s v="Equipo Nacional"/>
    <s v="No"/>
    <s v="No Aprobado"/>
    <m/>
    <m/>
  </r>
  <r>
    <d v="2026-01-03T00:00:00"/>
    <s v="LUIS FERNANDO ARIAS CONTRERAS"/>
    <n v="1065836266"/>
    <x v="8"/>
    <s v="https://drive.google.com/drive/folders/1MaSvQYoDXhyT94SowCbOFdIaO6VvMvyb?usp=sharing"/>
    <n v="3137899900"/>
    <x v="2"/>
    <s v="Valledupar"/>
    <s v="Cesar"/>
    <m/>
    <s v="RCE_260106_9_x000a_RCE_260109_12"/>
    <d v="2026-01-13T00:00:00"/>
    <s v="No"/>
    <s v="Equipo Nacional"/>
    <s v="No"/>
    <s v="No Aprobado"/>
    <m/>
    <m/>
  </r>
  <r>
    <d v="2026-01-07T00:00:00"/>
    <s v="NAHUN EMIRO PAREDES"/>
    <n v="1065912517"/>
    <x v="8"/>
    <s v="https://drive.google.com/drive/u/1/folders/1ZZPbznhGgsnHaa81JWJEUbPNybXHtNsY"/>
    <n v="3187987337"/>
    <x v="2"/>
    <s v="Cesar"/>
    <e v="#REF!"/>
    <m/>
    <s v="RCE_260109_12"/>
    <d v="2026-01-13T00:00:00"/>
    <s v="No"/>
    <s v="Equipo Nacional"/>
    <s v="No"/>
    <s v="No Aprobado"/>
    <m/>
    <m/>
  </r>
  <r>
    <d v="2026-01-07T00:00:00"/>
    <s v="CRISTIAM DAVIS OROZCO DIAZ"/>
    <n v="4438271"/>
    <x v="5"/>
    <s v="https://drive.google.com/drive/folders/1Dqrhb2d1twKZQeD01ssGY8C3KHo0wNeC"/>
    <n v="3148759309"/>
    <x v="4"/>
    <s v="Caldas"/>
    <e v="#REF!"/>
    <m/>
    <s v="RCE_260109_12"/>
    <d v="2026-01-13T00:00:00"/>
    <s v="No"/>
    <s v="Equipo Nacional"/>
    <s v="No"/>
    <s v="No Aprobado"/>
    <m/>
    <m/>
  </r>
  <r>
    <d v="2026-01-07T00:00:00"/>
    <s v="CAROL LILIANA RAMIREZ"/>
    <n v="37749732"/>
    <x v="6"/>
    <s v="https://drive.google.com/drive/folders/1RxJbrxWBzthqZHQueCLLdBvtCuR8JACh?usp=sharing"/>
    <n v="3232064022"/>
    <x v="1"/>
    <s v="Santander"/>
    <s v="Bucaramanga"/>
    <m/>
    <s v="RCE_260109_12"/>
    <d v="2026-01-13T00:00:00"/>
    <s v="No"/>
    <s v="Equipo Nacional"/>
    <s v="No"/>
    <s v="No Aprobado"/>
    <m/>
    <m/>
  </r>
  <r>
    <s v="10/01/2026_x000a_16/03/2026"/>
    <s v="Jessica Lorena Martínez Espejo"/>
    <n v="1014299014"/>
    <x v="1"/>
    <s v="https://drive.google.com/drive/folders/1z2W7PtHwJBpPPShxmMhspaNp70jgw1Wr?usp=sharing"/>
    <s v="3143000442 - 3222688388"/>
    <x v="4"/>
    <s v="Bogotá"/>
    <s v="Bogotá"/>
    <m/>
    <s v="RCE_260114_15_x000a_ RCE_260318_75"/>
    <d v="2026-01-17T00:00:00"/>
    <s v="No"/>
    <s v="Equipo Técnico Territorial"/>
    <s v="No"/>
    <s v="No Aprobado"/>
    <m/>
    <m/>
  </r>
  <r>
    <d v="2026-01-10T00:00:00"/>
    <s v="YESSICA PAOLA MARTINEZ COCA"/>
    <n v="1030675464"/>
    <x v="5"/>
    <s v="https://drive.google.com/drive/folders/1rLm7udOqsN79qDVVPHs2j0YOPT79GoNM?usp=sharing"/>
    <n v="3172962024"/>
    <x v="0"/>
    <s v="Bogotá"/>
    <s v="Bogotá"/>
    <m/>
    <s v="RCE_260115_16"/>
    <d v="2026-01-17T00:00:00"/>
    <s v="No"/>
    <s v="Equipo Nacional"/>
    <s v="No"/>
    <s v="No Aprobado"/>
    <m/>
    <m/>
  </r>
  <r>
    <d v="2026-01-10T00:00:00"/>
    <s v="ISIDRO RAFAEL PETIT MOLINA"/>
    <n v="1065852706"/>
    <x v="1"/>
    <s v="https://drive.google.com/drive/folders/15QE4_CfTDee0GxSOJn5yUegNpiyQ_lZ1?usp=sharing"/>
    <n v="3168965334"/>
    <x v="2"/>
    <s v="Cesar"/>
    <e v="#REF!"/>
    <m/>
    <s v="RCE_260115_16"/>
    <d v="2026-01-17T00:00:00"/>
    <s v="No"/>
    <s v="Equipo Técnico Territorial"/>
    <s v="No"/>
    <s v="No Aprobado"/>
    <m/>
    <m/>
  </r>
  <r>
    <d v="2026-01-10T00:00:00"/>
    <s v="Lina Paola Quintero Cuadros"/>
    <n v="1070009009"/>
    <x v="1"/>
    <s v="https://drive.google.com/drive/folders/1gin_M_PrYMjw0MsNVPUbyFX6XAyAvQQ6?usp=sharing"/>
    <n v="3133629181"/>
    <x v="4"/>
    <s v="Cundinamarca"/>
    <s v="Cajicá"/>
    <m/>
    <s v="RCE_260115_16"/>
    <d v="2026-01-17T00:00:00"/>
    <s v="No"/>
    <s v="Equipo Técnico Territorial"/>
    <s v="No"/>
    <s v="No Aprobado"/>
    <m/>
    <m/>
  </r>
  <r>
    <d v="2026-01-10T00:00:00"/>
    <s v="LUISA MARIA QUINAYAS"/>
    <n v="1112463220"/>
    <x v="1"/>
    <s v="https://drive.google.com/drive/folders/1Z61XQ44UIVJsHinAnnpl4vY_5e9WQf0j?usp=sharing"/>
    <s v="316 506 2284"/>
    <x v="3"/>
    <s v="Valle del cauca"/>
    <s v="Cali"/>
    <m/>
    <s v="RCE_260115_16"/>
    <d v="2026-01-17T00:00:00"/>
    <s v="No"/>
    <s v="Equipo Técnico Territorial"/>
    <s v="No"/>
    <s v="No Aprobado"/>
    <s v="Perfil cumple tb Técnico administrativo regional de apoyo"/>
    <m/>
  </r>
  <r>
    <d v="2026-01-16T00:00:00"/>
    <s v="FIDEL NAVARRO GUTIÉRREZ"/>
    <n v="8757556"/>
    <x v="2"/>
    <s v="https://drive.google.com/drive/folders/1y-iIlpo2Ge6O7a3bUvNNJhG_8iKCUT3P?usp=sharing"/>
    <n v="3205660310"/>
    <x v="0"/>
    <s v="Bogotá"/>
    <s v="Bogotá"/>
    <m/>
    <s v="RCE_260120_21"/>
    <d v="2026-01-21T00:00:00"/>
    <s v="No"/>
    <s v="Equipo Técnico Territorial"/>
    <s v="No"/>
    <s v="No Aprobado"/>
    <m/>
    <m/>
  </r>
  <r>
    <d v="2026-01-16T00:00:00"/>
    <s v="GALAXYS CORPUS ARRIETA"/>
    <n v="1102876117"/>
    <x v="2"/>
    <s v="https://drive.google.com/drive/folders/1onMb-79x1wPAW4jDGu5YovkdUm8_3KSu?usp=sharing"/>
    <n v="3107969446"/>
    <x v="0"/>
    <s v="Boyacá"/>
    <e v="#REF!"/>
    <m/>
    <s v="RCE_260120_21"/>
    <d v="2026-01-27T00:00:00"/>
    <s v="No"/>
    <s v="Equipo Técnico Territorial"/>
    <s v="No"/>
    <s v="No Aprobado"/>
    <s v="Elimino los documentos, ya los vuelve a cargar"/>
    <m/>
  </r>
  <r>
    <d v="2026-01-16T00:00:00"/>
    <s v="JESÚS HUMBERTO GUZMÁN SANTAMARIA"/>
    <n v="93235752"/>
    <x v="1"/>
    <s v="https://drive.google.com/drive/folders/1g5TftoMXFskf_0fLxxWXLVUJhVKRozan?usp=sharing"/>
    <n v="3174377167"/>
    <x v="4"/>
    <s v="Tolima"/>
    <s v="Ibagué"/>
    <m/>
    <s v="RCE_260120_22"/>
    <d v="2026-01-27T00:00:00"/>
    <s v="No"/>
    <s v="Equipo Técnico Territorial"/>
    <s v="No"/>
    <s v="Sin Respuesta"/>
    <m/>
    <m/>
  </r>
  <r>
    <d v="2026-01-19T00:00:00"/>
    <s v="JHON FREDDY MEJÍA ROJAS "/>
    <n v="1107064993"/>
    <x v="1"/>
    <s v="https://drive.google.com/drive/folders/1yicYjDvOcqFAZALiB9NgTgTy4aqCvEZr?usp=sharing"/>
    <s v="310 362 4086"/>
    <x v="3"/>
    <s v="Valle del Cauca"/>
    <e v="#REF!"/>
    <m/>
    <s v="RCE_260121_23"/>
    <d v="2026-01-27T00:00:00"/>
    <s v="No"/>
    <s v="Equipo Técnico Territorial"/>
    <s v="No"/>
    <s v="No Aprobado"/>
    <m/>
    <m/>
  </r>
  <r>
    <d v="2026-01-19T00:00:00"/>
    <s v="MARCO TULIO RUIZ DAZA "/>
    <n v="18969095"/>
    <x v="2"/>
    <s v="https://drive.google.com/drive/folders/1drYIDHaLtvb_I4siU9kVJi1dwZ-3EahP?usp=sharing"/>
    <n v="3145209209"/>
    <x v="2"/>
    <s v="Cesar"/>
    <s v="valledupar"/>
    <m/>
    <s v="RCE_260121_23"/>
    <d v="2026-01-27T00:00:00"/>
    <s v="No"/>
    <s v="Equipo Técnico Territorial"/>
    <s v="No"/>
    <s v="No Aprobado"/>
    <m/>
    <m/>
  </r>
  <r>
    <d v="2026-01-19T00:00:00"/>
    <s v="MARÍA ALEJANDRA GÓMEZ UYABÁN"/>
    <n v="1018454975"/>
    <x v="2"/>
    <s v="https://drive.google.com/drive/folders/10hqCytxwe6NHmVFjttKN9S39XOxbhHg8?usp=sharing"/>
    <n v="3508569237"/>
    <x v="0"/>
    <s v="Bogotá"/>
    <s v="Bogotá"/>
    <m/>
    <s v="RCE_260121_23"/>
    <d v="2026-01-27T00:00:00"/>
    <s v="No"/>
    <s v="Equipo Técnico Territorial"/>
    <s v="No"/>
    <s v="No Aprobado"/>
    <m/>
    <m/>
  </r>
  <r>
    <d v="2026-01-19T00:00:00"/>
    <s v="DANIEL ALEJANDRO GÓMEZ DURAN"/>
    <n v="1072708789"/>
    <x v="2"/>
    <s v="https://drive.google.com/drive/folders/1yHZGCzt0N1OdAL7o8RsdBdssyZeN_XvG?usp=sharing"/>
    <n v="3006623020"/>
    <x v="0"/>
    <s v="Bogotá"/>
    <s v="Bogotá"/>
    <m/>
    <s v="RCE_260121_23"/>
    <d v="2026-01-27T00:00:00"/>
    <s v="No"/>
    <s v="Equipo Técnico Territorial"/>
    <s v="No"/>
    <s v="No Aprobado"/>
    <m/>
    <m/>
  </r>
  <r>
    <d v="2026-01-19T00:00:00"/>
    <s v="LUIS DAVID ARANGO BETANCUR "/>
    <n v="1152457333"/>
    <x v="2"/>
    <s v="https://drive.google.com/drive/folders/1NMyOnTz215g7u236XuVqzcFRTUKjTr4m?usp=sharing"/>
    <n v="3046315093"/>
    <x v="3"/>
    <s v="Chocó"/>
    <e v="#REF!"/>
    <m/>
    <s v="RCE_260121_23"/>
    <d v="2026-01-27T00:00:00"/>
    <s v="No"/>
    <s v="Equipo Técnico Territorial"/>
    <s v="No"/>
    <s v="No Aprobado"/>
    <s v="No se pudo entablar contacto "/>
    <m/>
  </r>
  <r>
    <d v="2026-01-19T00:00:00"/>
    <s v="PAOLA ANDREA GARCIA BELALCAZAR"/>
    <n v="34319984"/>
    <x v="2"/>
    <s v="https://drive.google.com/drive/folders/1wBf5OmfSGkA_J_PMPKlfyQTJUL6Wbkxo?usp=sharing"/>
    <n v="3208069598"/>
    <x v="3"/>
    <s v="cauca"/>
    <s v="Popayán"/>
    <m/>
    <s v="RCE_260122_26"/>
    <d v="2026-01-27T00:00:00"/>
    <s v="No"/>
    <s v="Equipo Técnico Territorial"/>
    <s v="No"/>
    <s v="Sin Respuesta"/>
    <m/>
    <m/>
  </r>
  <r>
    <d v="2026-01-19T00:00:00"/>
    <s v="EDER LUIS VILLERA ARAUJO"/>
    <n v="78038151"/>
    <x v="2"/>
    <s v="https://drive.google.com/drive/folders/1XwoC0FsYcqsyhPo_xGT3kC5quVfQ6uqf?usp=sharing"/>
    <s v="3114263266-3135801423"/>
    <x v="2"/>
    <s v="Córdoba"/>
    <e v="#REF!"/>
    <m/>
    <s v="RCE_260122_26"/>
    <d v="2026-01-27T00:00:00"/>
    <s v="No"/>
    <s v="Equipo Técnico Territorial"/>
    <s v="No"/>
    <s v="En Base de Datos"/>
    <m/>
    <m/>
  </r>
  <r>
    <d v="2026-01-19T00:00:00"/>
    <s v="ALEJAJANDRO SERRANO AGUDELO"/>
    <n v="79873274"/>
    <x v="2"/>
    <s v="https://drive.google.com/drive/folders/1HuNkxMHezgyzVZR-EYRaSvny5j4Pv0dz?usp=sharing"/>
    <s v="300 485 1573"/>
    <x v="0"/>
    <s v="Bogotá"/>
    <s v="Bogotá"/>
    <m/>
    <s v="RCE_260122_26"/>
    <d v="2026-01-27T00:00:00"/>
    <s v="No"/>
    <s v="Equipo Técnico Territorial"/>
    <s v="No"/>
    <s v="Sin Respuesta"/>
    <m/>
    <m/>
  </r>
  <r>
    <d v="2026-01-19T00:00:00"/>
    <s v="JOSÉ GABRIEL CAMPUZANO ESCOBAR"/>
    <n v="1053786431"/>
    <x v="2"/>
    <s v="https://drive.google.com/drive/folders/1RZ4aStXKCgKYMUgX90dOmrsTy_MHZojd?usp=sharing"/>
    <n v="3217654595"/>
    <x v="4"/>
    <s v="Cundinamarca"/>
    <e v="#REF!"/>
    <m/>
    <s v="RCE_260122_26"/>
    <d v="2026-01-27T00:00:00"/>
    <s v="No"/>
    <s v="Equipo Técnico Territorial"/>
    <s v="No"/>
    <s v="Sin Respuesta"/>
    <m/>
    <m/>
  </r>
  <r>
    <d v="2026-01-10T00:00:00"/>
    <s v="MARIBEL BARAJAS ORTIZ"/>
    <n v="63395573"/>
    <x v="1"/>
    <s v="https://drive.google.com/drive/folders/12Tp5QilWeNDssUEs0YKBX1wZpUGIVqMO?usp=sharing"/>
    <n v="3204462342"/>
    <x v="1"/>
    <s v="Santander"/>
    <s v="Málaga"/>
    <m/>
    <s v="RCE_260122_30"/>
    <d v="2026-01-17T00:00:00"/>
    <s v="No"/>
    <s v="Equipo Técnico Territorial"/>
    <s v="No"/>
    <s v="No Aprobado"/>
    <m/>
    <m/>
  </r>
  <r>
    <d v="2026-01-23T00:00:00"/>
    <s v="Liliana Yasmín Quitian Peña "/>
    <n v="52360169"/>
    <x v="2"/>
    <s v="https://drive.google.com/drive/folders/1KrQ35z4gDPSyZorPuEKWrO1oDUNIKTau?usp=sharing"/>
    <n v="3118555568"/>
    <x v="0"/>
    <s v="Bogotá"/>
    <s v="Bogotá"/>
    <m/>
    <s v="RCE_260127_32"/>
    <d v="2026-02-09T00:00:00"/>
    <s v="No"/>
    <s v="Equipo Técnico Territorial"/>
    <s v="No"/>
    <s v="No Aprobado"/>
    <m/>
    <m/>
  </r>
  <r>
    <d v="2026-01-23T00:00:00"/>
    <s v="Mariana Duarte Duarte "/>
    <n v="1000699238"/>
    <x v="2"/>
    <s v="https://drive.google.com/drive/folders/1-6VokM-OlhbjZOpvh5vnj9FztL_-XIZt?usp=sharing"/>
    <n v="3236811102"/>
    <x v="0"/>
    <s v="Bogotá"/>
    <s v="Bogotá"/>
    <m/>
    <s v="RCE_260127_32"/>
    <d v="2026-02-09T00:00:00"/>
    <s v="No"/>
    <s v="Equipo Técnico Territorial"/>
    <s v="No"/>
    <s v="No Aprobado"/>
    <m/>
    <m/>
  </r>
  <r>
    <d v="2026-01-23T00:00:00"/>
    <s v="YHEY MAYHISNY MATURANA CORREA"/>
    <n v="1078180577"/>
    <x v="2"/>
    <s v="https://drive.google.com/drive/folders/1itgVqRc1hu-G753Nt5iD4huxonLXVJW2?usp=sharing"/>
    <n v="3207688387"/>
    <x v="3"/>
    <s v="Chocó"/>
    <e v="#REF!"/>
    <m/>
    <s v="RCE_260127_32"/>
    <d v="2026-02-09T00:00:00"/>
    <s v="No"/>
    <s v="Equipo Técnico Territorial"/>
    <s v="No"/>
    <s v="No Aprobado"/>
    <m/>
    <m/>
  </r>
  <r>
    <d v="2026-01-28T00:00:00"/>
    <s v="JUAN CARLOS ALFONSO MARTINEZ"/>
    <n v="79639492"/>
    <x v="1"/>
    <s v="https://drive.google.com/drive/folders/1eym3Sn0MmayXC52D9x1LJz1VXbpSYel0?usp=sharing"/>
    <n v="3028208812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Flor Maria Garizabalo Villalobos"/>
    <n v="32890817"/>
    <x v="2"/>
    <s v="https://drive.google.com/drive/folders/1CYi5ibORQXLTWlRXo3Xxu9U5dSFq2XCi?usp=sharing"/>
    <n v="3332283189"/>
    <x v="2"/>
    <s v="Atlántico"/>
    <e v="#REF!"/>
    <m/>
    <s v="RCE_260131_36"/>
    <d v="2026-02-09T00:00:00"/>
    <s v="No"/>
    <s v="Equipo Técnico Territorial"/>
    <s v="No"/>
    <s v="No Aprobado"/>
    <m/>
    <m/>
  </r>
  <r>
    <d v="2026-01-28T00:00:00"/>
    <s v="JEIMY CECILI AVILA MORENO"/>
    <n v="1012359064"/>
    <x v="2"/>
    <s v="https://drive.google.com/drive/folders/1T7Q_BMtVxF9QWZ5YIT1j9Y66ME6IYyjP?usp=sharing"/>
    <n v="3232846025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Ana Sofia Urrego"/>
    <n v="1014279405"/>
    <x v="2"/>
    <s v="https://drive.google.com/drive/folders/1Fw4R05njqKd9JL8EZd0WWwx1mnWOkrn6?usp=sharing"/>
    <n v="3193346258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Nicolás Perilla Hernández"/>
    <n v="1022399368"/>
    <x v="2"/>
    <s v="https://drive.google.com/drive/folders/1mYeTrMr9fVMupbgBH03WICRu8WdcNHp1?usp=sharing"/>
    <n v="3212368067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Michel Vannesa Farfan Martinez"/>
    <n v="1073170717"/>
    <x v="2"/>
    <s v="https://drive.google.com/drive/folders/1v7OoxPaSbTd9xiJ42U1gu9imoUYICFLP?usp=sharing"/>
    <n v="3214000100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Mireya Martinez Guzman"/>
    <n v="1074556969"/>
    <x v="2"/>
    <s v="https://drive.google.com/drive/folders/1zHHfeBD7lBKloYhPFqd6M97QSMUoV_WN?usp=sharing"/>
    <n v="3222381473"/>
    <x v="0"/>
    <s v="Bogotá"/>
    <s v="Bogotá"/>
    <m/>
    <s v="RCE_260131_36"/>
    <d v="2026-02-09T00:00:00"/>
    <s v="No"/>
    <s v="Equipo Técnico Territorial"/>
    <s v="No"/>
    <s v="No Aprobado"/>
    <m/>
    <m/>
  </r>
  <r>
    <d v="2026-01-28T00:00:00"/>
    <s v="Maria de los Angeles Sierra Perez"/>
    <n v="1118870724"/>
    <x v="2"/>
    <s v="https://drive.google.com/drive/folders/1cA17wzrBGghm99gAq8FkEnVQomgNbgNl?usp=sharing"/>
    <n v="3006346691"/>
    <x v="2"/>
    <s v="La Guajira"/>
    <e v="#REF!"/>
    <m/>
    <s v="RCE_260131_36"/>
    <d v="2026-02-09T00:00:00"/>
    <s v="No"/>
    <s v="Equipo Técnico Territorial"/>
    <s v="No"/>
    <s v="No Aprobado"/>
    <m/>
    <m/>
  </r>
  <r>
    <d v="2026-01-28T00:00:00"/>
    <s v="Gabriela Calderon Sarmiento"/>
    <n v="1192894272"/>
    <x v="2"/>
    <s v="https://drive.google.com/drive/folders/1-nCjeEEPwM7nCQGAXYfXq6N5ZJOkVus_?usp=sharing"/>
    <n v="3208695087"/>
    <x v="0"/>
    <s v="Bogotá"/>
    <s v="Bogotá"/>
    <m/>
    <s v="RCE_260131_36"/>
    <d v="2026-02-09T00:00:00"/>
    <s v="No"/>
    <s v="Equipo Técnico Territorial"/>
    <s v="No"/>
    <s v="No Aprobado"/>
    <m/>
    <m/>
  </r>
  <r>
    <d v="2026-02-03T00:00:00"/>
    <s v="Miguel Ángel Albarracin Rojas"/>
    <n v="1057164219"/>
    <x v="1"/>
    <s v="https://drive.google.com/drive/folders/1yfhvOpcM19mTBww_gu5-JLXCTw78tR9N?usp=sharing"/>
    <n v="3204214477"/>
    <x v="0"/>
    <s v="Bogotá"/>
    <s v="Bogotá"/>
    <m/>
    <s v="RCE_260205_40"/>
    <d v="2026-02-09T00:00:00"/>
    <s v="No"/>
    <s v="Equipo Técnico Territorial"/>
    <s v="No"/>
    <s v="No Aprobado"/>
    <s v="Desiste del proceso "/>
    <m/>
  </r>
  <r>
    <s v="3/02/2026_x000a_13/02/2026"/>
    <s v="Leidy Tatiana Castro Moreno"/>
    <n v="1070970849"/>
    <x v="1"/>
    <s v="https://drive.google.com/drive/folders/1iF1spnRVP9b4-NZmykDlx0_cbNLWYm99?usp=sharing"/>
    <s v="312 7219584"/>
    <x v="0"/>
    <s v="Bogotá"/>
    <s v="Bogotá"/>
    <m/>
    <s v="RCE_260205_40_x000a_RCE_260223_61"/>
    <d v="2026-02-09T00:00:00"/>
    <s v="No"/>
    <s v="Equipo Técnico Territorial"/>
    <s v="No"/>
    <s v="No Aprobado"/>
    <m/>
    <m/>
  </r>
  <r>
    <d v="2026-02-03T00:00:00"/>
    <s v="María Camelia Del Pilar Jiménez Falla"/>
    <n v="1019090994"/>
    <x v="2"/>
    <s v="https://drive.google.com/drive/folders/1TGTNL_jM_JuuJW0srnj6kjY5I7DaX7lT?usp=sharing"/>
    <n v="3185535655"/>
    <x v="0"/>
    <s v="Bogotá"/>
    <s v="Bogotá"/>
    <m/>
    <s v="RCE_260206_42"/>
    <d v="2026-02-10T00:00:00"/>
    <s v="No"/>
    <s v="Equipo Técnico Territorial"/>
    <s v="No"/>
    <s v="No Aprobado"/>
    <s v="Desiste del proceso de contratacion "/>
    <m/>
  </r>
  <r>
    <d v="2026-02-03T00:00:00"/>
    <s v="Erika Viviana Trujillo Angulo "/>
    <n v="1075247000"/>
    <x v="1"/>
    <s v="https://drive.google.com/drive/folders/10K6xkar7xd0XAd218S7K9en6hnDzSanU?usp=sharing"/>
    <n v="3184254778"/>
    <x v="0"/>
    <s v="Huila"/>
    <s v="Neiva"/>
    <m/>
    <s v="RCE_260206_42"/>
    <d v="2026-02-10T00:00:00"/>
    <s v="No"/>
    <s v="Equipo Técnico Territorial"/>
    <s v="No"/>
    <s v="No Aprobado"/>
    <m/>
    <m/>
  </r>
  <r>
    <d v="2026-02-03T00:00:00"/>
    <s v="Yamile Díaz Rodríguez "/>
    <n v="1067849361"/>
    <x v="1"/>
    <s v="https://drive.google.com/drive/folders/1adx1KImcfoSu5VYQ4Mj1kT4n6a8s_iBC?usp=sharing"/>
    <n v="3023016504"/>
    <x v="2"/>
    <s v="Córdoba"/>
    <s v="Montería"/>
    <m/>
    <s v="RCE_260206_42_x000a_RCE_260220_56"/>
    <d v="2026-02-10T00:00:00"/>
    <s v="No"/>
    <s v="Equipo Técnico Territorial"/>
    <s v="No"/>
    <s v="No Aprobado"/>
    <m/>
    <m/>
  </r>
  <r>
    <s v="3/02/2026_x000a_13/02/2026"/>
    <s v="Walter Javier Moreno Castro"/>
    <n v="1022360933"/>
    <x v="7"/>
    <s v="https://drive.google.com/drive/folders/1a3K4h6nWFlnS33amh2y0U_oze2cFtKbg?usp=sharing"/>
    <n v="3202631537"/>
    <x v="4"/>
    <s v="Cundinamarca"/>
    <s v="Soacha"/>
    <m/>
    <s v="RCE_260209_44_x000a_RCE_260217_54"/>
    <m/>
    <s v="No"/>
    <s v="Equipo Nacional"/>
    <s v="No"/>
    <s v="No Aprobado"/>
    <m/>
    <m/>
  </r>
  <r>
    <d v="2026-02-03T00:00:00"/>
    <s v="Mabel Natalia Mancilla Escucha"/>
    <n v="1233897996"/>
    <x v="2"/>
    <s v="https://drive.google.com/drive/folders/1vc1Pv2iF_SHo1haci9Gbw3a6uRk9J8PE?usp=sharing"/>
    <n v="3143737256"/>
    <x v="0"/>
    <s v="Bogotá"/>
    <s v="Bogotá"/>
    <m/>
    <s v="RCE_260210_47"/>
    <m/>
    <s v="No"/>
    <s v="Equipo Técnico Territorial"/>
    <s v="No"/>
    <m/>
    <m/>
    <m/>
  </r>
  <r>
    <d v="2026-02-09T00:00:00"/>
    <s v="Luis Alberto Pineda Florian"/>
    <n v="1124076999"/>
    <x v="2"/>
    <s v="https://drive.google.com/drive/folders/19ypW8X8hJPXb0BGCUHodsZbjwJnv4Kwc?usp=sharing"/>
    <n v="3045640656"/>
    <x v="2"/>
    <s v="Cesar"/>
    <s v="Valledupar"/>
    <m/>
    <s v="RCE_260211_48"/>
    <d v="2026-02-16T00:00:00"/>
    <s v="No"/>
    <s v="Equipo Técnico Territorial"/>
    <s v="No"/>
    <s v="No Aprobado"/>
    <m/>
    <m/>
  </r>
  <r>
    <d v="2026-02-09T00:00:00"/>
    <s v="Edmundo Valencia Alegria"/>
    <n v="16494633"/>
    <x v="2"/>
    <s v="https://drive.google.com/drive/folders/1NoTySi_W0mSLQbruKh_7-StTkYNnexrC?usp=sharing"/>
    <n v="3167513036"/>
    <x v="3"/>
    <s v="Valle del Cauca"/>
    <s v="Buenaventura"/>
    <m/>
    <s v="RCE_260211_48"/>
    <d v="2026-02-16T00:00:00"/>
    <s v="No"/>
    <s v="Equipo Técnico Territorial"/>
    <s v="No"/>
    <s v="No Aprobado"/>
    <m/>
    <m/>
  </r>
  <r>
    <d v="2026-02-09T00:00:00"/>
    <s v="Cindy Paola Moreno Cruz"/>
    <n v="1013613271"/>
    <x v="2"/>
    <s v="https://drive.google.com/drive/folders/1uHNCH5SgAZ6lZVAKAuAhPpcX2nx9Nn76?usp=sharing"/>
    <n v="3208786742"/>
    <x v="0"/>
    <s v="Bogotá"/>
    <s v="Bogotá"/>
    <m/>
    <s v="RCE_260211_48"/>
    <d v="2026-02-16T00:00:00"/>
    <s v="No"/>
    <s v="Equipo Técnico Territorial"/>
    <s v="No"/>
    <s v="No Aprobado"/>
    <m/>
    <m/>
  </r>
  <r>
    <d v="2026-02-09T00:00:00"/>
    <s v="DAVID ALFONSO CANDELARIO GUERRERO"/>
    <n v="1082928869"/>
    <x v="1"/>
    <s v="https://drive.google.com/drive/folders/1kwpRWkaBFrDD6WUxjeFiRKXI5QHleA7r?usp=sharing"/>
    <s v="310 729 0126 - 301 426 6361"/>
    <x v="2"/>
    <s v="Magdalena"/>
    <s v="Santa Marta"/>
    <m/>
    <s v="RCE_260211_48"/>
    <d v="2026-02-16T00:00:00"/>
    <s v="No"/>
    <s v="Equipo Técnico Territorial"/>
    <s v="No"/>
    <s v="No Aprobado"/>
    <m/>
    <m/>
  </r>
  <r>
    <d v="2026-02-09T00:00:00"/>
    <s v="MICHAEL MC DONALD HARDING LOZANO"/>
    <n v="1082977834"/>
    <x v="1"/>
    <s v="https://drive.google.com/drive/folders/1vvr3fbIWfifpOxvCBeua26E-vC5eU-yp?usp=sharing"/>
    <n v="3103719283"/>
    <x v="2"/>
    <s v="Magdalena"/>
    <s v="Santa Marta"/>
    <m/>
    <s v="RCE_260211_48"/>
    <d v="2026-02-16T00:00:00"/>
    <s v="No"/>
    <s v="Equipo Técnico Territorial"/>
    <s v="No"/>
    <s v="No Aprobado"/>
    <m/>
    <m/>
  </r>
  <r>
    <d v="2026-02-09T00:00:00"/>
    <s v="María José Landázuri Mairongo"/>
    <n v="1087131491"/>
    <x v="1"/>
    <s v="https://drive.google.com/drive/folders/1lRnqa8jSDMwg9ZU6avqSov-WeigiD2U-?usp=sharing"/>
    <s v="3217461748 / 3042483803 Wpp"/>
    <x v="3"/>
    <s v="Nariño"/>
    <s v="Tumaco"/>
    <m/>
    <s v="RCE_260211_48"/>
    <d v="2026-02-16T00:00:00"/>
    <s v="No"/>
    <s v="Equipo Técnico Territorial"/>
    <s v="No"/>
    <s v="No Aprobado"/>
    <m/>
    <m/>
  </r>
  <r>
    <d v="2026-02-09T00:00:00"/>
    <s v="Gina Yoelis preciado molina"/>
    <n v="1087205754"/>
    <x v="1"/>
    <s v="https://drive.google.com/drive/folders/1mQUFrVn0cVzK6ja_wu7_LVTEdPNtRkOF?usp=sharing"/>
    <s v="313 725 6270"/>
    <x v="3"/>
    <s v="Nariño"/>
    <e v="#REF!"/>
    <m/>
    <s v="RCE_260211_48"/>
    <d v="2026-02-16T00:00:00"/>
    <s v="No"/>
    <s v="Equipo Técnico Territorial"/>
    <s v="No"/>
    <s v="No Aprobado"/>
    <m/>
    <m/>
  </r>
  <r>
    <s v="9/02/2026_x000a_13/02/2026"/>
    <s v="José Javier castro Marquinez"/>
    <n v="1087126617"/>
    <x v="1"/>
    <s v="https://drive.google.com/drive/folders/1D-bjLmEnfamW2lSpKyfQtJukaKZK2PF4?usp=sharing"/>
    <s v="3185810016 – 7274045"/>
    <x v="3"/>
    <s v="Nariño"/>
    <s v="Tumaco"/>
    <m/>
    <s v="RCE_260211_48_x000a_RCE_260220_56 RCE_260318_75"/>
    <d v="2026-02-16T00:00:00"/>
    <s v="No"/>
    <s v="Equipo Técnico Territorial"/>
    <s v="No"/>
    <s v="No Aprobado"/>
    <m/>
    <m/>
  </r>
  <r>
    <d v="2026-02-09T00:00:00"/>
    <s v="Laura Daniela Bravo Rojas"/>
    <n v="1089244842"/>
    <x v="1"/>
    <s v="https://drive.google.com/drive/folders/17xkrMjIMwuUwVZ4xAlqLF7YFIk2M2ayL?usp=sharing"/>
    <n v="3167540016"/>
    <x v="3"/>
    <s v="Nariño"/>
    <s v="Gualmatan"/>
    <m/>
    <s v="RCE_260212_51"/>
    <d v="2026-02-16T00:00:00"/>
    <s v="No"/>
    <s v="Equipo Técnico Territorial"/>
    <s v="No"/>
    <s v="No Aprobado"/>
    <m/>
    <m/>
  </r>
  <r>
    <d v="2026-02-09T00:00:00"/>
    <s v="Yullie Nataly Canchon Lopez"/>
    <n v="1032417171"/>
    <x v="2"/>
    <s v="https://drive.google.com/drive/folders/1pp5MWYWPTL_XginRy2-pZjmVkqcn6ril?usp=sharing"/>
    <n v="3160503002"/>
    <x v="3"/>
    <s v="Nariño"/>
    <s v="Pasto"/>
    <m/>
    <s v="RCE_260212_51"/>
    <d v="2026-02-16T00:00:00"/>
    <s v="No"/>
    <s v="Equipo Técnico Territorial"/>
    <s v="No"/>
    <s v="No Aprobado"/>
    <m/>
    <m/>
  </r>
  <r>
    <d v="2026-02-09T00:00:00"/>
    <s v="Mileidy Catalina Parra Paez"/>
    <n v="1013640659"/>
    <x v="2"/>
    <s v="https://drive.google.com/drive/folders/1N6fuxQUfoeORnv5oAcheaSglQit4XgRq?usp=sharing"/>
    <s v="322 460 1257"/>
    <x v="2"/>
    <s v="Sucre"/>
    <s v="Sincelejo"/>
    <m/>
    <s v="RCE_260212_51"/>
    <d v="2026-02-16T00:00:00"/>
    <s v="No"/>
    <s v="Equipo Técnico Territorial"/>
    <s v="No"/>
    <s v="No Aprobado"/>
    <m/>
    <m/>
  </r>
  <r>
    <d v="2026-02-09T00:00:00"/>
    <s v="Yeimi Katherine Martinez Cifuentes"/>
    <n v="1016075085"/>
    <x v="2"/>
    <s v="https://drive.google.com/drive/folders/178FvzX9_jWds-OmHDjnigPBbs3svhTlJ?usp=sharing"/>
    <n v="3188759288"/>
    <x v="0"/>
    <s v="Bogotá"/>
    <s v="Bogotá"/>
    <m/>
    <s v="RCE_260212_51"/>
    <d v="2026-02-16T00:00:00"/>
    <s v="No"/>
    <s v="Equipo Técnico Territorial"/>
    <s v="No"/>
    <s v="No Aprobado"/>
    <m/>
    <m/>
  </r>
  <r>
    <d v="2026-02-09T00:00:00"/>
    <s v="Mauricio Andres Cuastumal"/>
    <n v="1087007008"/>
    <x v="1"/>
    <s v="https://drive.google.com/drive/folders/1tldSidiy5CWQ3ov0Lub0FzbSqJ7OmAbh?usp=sharing"/>
    <n v="3106318763"/>
    <x v="3"/>
    <s v="Nariño"/>
    <s v="Pasto"/>
    <m/>
    <s v="RCE_260213_52"/>
    <m/>
    <s v="No"/>
    <s v="Equipo Técnico Territorial"/>
    <s v="No"/>
    <m/>
    <m/>
    <m/>
  </r>
  <r>
    <d v="2026-02-09T00:00:00"/>
    <s v="Jairo Javier Anaya Barrios"/>
    <n v="11039803"/>
    <x v="1"/>
    <s v="https://drive.google.com/drive/folders/1A6nTtO0eeVcptNhDbO-FDBmYyJzBklJ8?usp=sharing"/>
    <s v="3143807141 - 3127935094"/>
    <x v="3"/>
    <s v="Antioquia"/>
    <s v="El Bagre"/>
    <m/>
    <s v="RCE_260213_52"/>
    <m/>
    <s v="No"/>
    <s v="Equipo Técnico Territorial"/>
    <s v="No"/>
    <m/>
    <m/>
    <m/>
  </r>
  <r>
    <s v="13/02/2026_x000a_18/02/2026"/>
    <s v="KAREN VIVIANA CORTÉS GARZÓN"/>
    <n v="1012368271"/>
    <x v="0"/>
    <s v="https://drive.google.com/drive/folders/1KKkoZwaGvaGorkj3h-jIZKAfssL2HAkU?usp=sharing"/>
    <n v="3223929167"/>
    <x v="0"/>
    <s v="Bogotá"/>
    <s v="Bogotá"/>
    <m/>
    <s v="RCE_260217_54_x000a_RCE_260220_59"/>
    <d v="2026-02-23T00:00:00"/>
    <s v="No"/>
    <s v="Equipo Técnico Territorial"/>
    <s v="No"/>
    <s v="No Aprobado"/>
    <m/>
    <m/>
  </r>
  <r>
    <d v="2026-02-20T00:00:00"/>
    <s v="John Jairo Avellaneda Rivera"/>
    <n v="1053604465"/>
    <x v="1"/>
    <s v="https://drive.google.com/drive/folders/1UlC3AcrkJS0tA-e4PJAa7exmsRjHdUlS?usp=sharing"/>
    <s v="310 791 5961"/>
    <x v="0"/>
    <s v="Huila"/>
    <s v="Garzón"/>
    <m/>
    <s v="RCE_260220_56"/>
    <d v="2026-02-23T00:00:00"/>
    <s v="No"/>
    <s v="Equipo Técnico Territorial"/>
    <s v="No"/>
    <s v="No Aprobado"/>
    <m/>
    <m/>
  </r>
  <r>
    <d v="2026-02-20T00:00:00"/>
    <s v="Luis Enrique Bravo Elvira"/>
    <n v="76326736"/>
    <x v="1"/>
    <s v="https://drive.google.com/drive/folders/1s0DZ8tZDltM9munwcSiMpLZrjpC8PWrB?usp=sharing"/>
    <n v="3146921623"/>
    <x v="3"/>
    <s v="Cauca"/>
    <e v="#REF!"/>
    <m/>
    <s v="RCE_260220_56"/>
    <d v="2026-02-23T00:00:00"/>
    <s v="No"/>
    <s v="Equipo Técnico Territorial"/>
    <s v="No"/>
    <s v="No Aprobado"/>
    <m/>
    <m/>
  </r>
  <r>
    <d v="2026-02-20T00:00:00"/>
    <s v="Gustavo Rodríguez Correa"/>
    <n v="1028031813"/>
    <x v="1"/>
    <s v="https://drive.google.com/drive/folders/1QP836_b7VegvsA62BkSb3epf4Ibg6LZK?usp=sharing"/>
    <n v="3147720581"/>
    <x v="3"/>
    <s v="Antioquia"/>
    <s v="Apartadó"/>
    <m/>
    <s v="RCE_260220_56"/>
    <d v="2026-02-23T00:00:00"/>
    <s v="No"/>
    <s v="Equipo Técnico Territorial"/>
    <s v="No"/>
    <s v="No Aprobado"/>
    <m/>
    <m/>
  </r>
  <r>
    <d v="2026-02-20T00:00:00"/>
    <s v="Conny Libeth Gutierrez Fierro"/>
    <n v="1079179284"/>
    <x v="1"/>
    <s v="https://drive.google.com/drive/folders/1RMnVM98hyVcJ185KULXydnfl1Arjg4k-?usp=sharing"/>
    <n v="3213065792"/>
    <x v="0"/>
    <s v="Huila"/>
    <s v="Campoalegre"/>
    <m/>
    <s v="RCE_260220_56"/>
    <d v="2026-02-23T00:00:00"/>
    <s v="No"/>
    <s v="Equipo Técnico Territorial"/>
    <s v="No"/>
    <s v="No Aprobado"/>
    <m/>
    <m/>
  </r>
  <r>
    <d v="2026-02-20T00:00:00"/>
    <s v="Julian Camilo Conde Bonilla"/>
    <n v="1075250066"/>
    <x v="1"/>
    <s v="https://drive.google.com/drive/folders/1IwRchS1JPAAv90N_WUJbfH9XIN5Xc5K0?usp=sharing"/>
    <n v="3157621575"/>
    <x v="0"/>
    <s v="Huila"/>
    <s v="Neiva"/>
    <m/>
    <s v="RCE_260220_56"/>
    <d v="2026-02-23T00:00:00"/>
    <s v="No"/>
    <s v="Equipo Técnico Territorial"/>
    <s v="No"/>
    <s v="No Aprobado"/>
    <m/>
    <m/>
  </r>
  <r>
    <d v="2026-02-20T00:00:00"/>
    <s v="Cesar Alirio Rodriguez Garcia"/>
    <n v="77230090"/>
    <x v="1"/>
    <s v="https://drive.google.com/drive/folders/1jWv8AetNT-bWx_OUyQpZUe-r2AP5lzVt?usp=sharing"/>
    <s v="3143618888-3009918190"/>
    <x v="0"/>
    <s v="Huila"/>
    <s v="Neiva"/>
    <m/>
    <s v="RCE_260220_56"/>
    <d v="2026-02-23T00:00:00"/>
    <s v="No"/>
    <s v="Equipo Técnico Territorial"/>
    <s v="No"/>
    <s v="No Aprobado"/>
    <m/>
    <m/>
  </r>
  <r>
    <d v="2026-02-20T00:00:00"/>
    <s v="FABIAN ANDRES REYES"/>
    <n v="12266306"/>
    <x v="1"/>
    <s v="https://drive.google.com/drive/folders/1LehDR8zGzJixo0JAaCtyYVyOtwabp5_O?usp=sharing"/>
    <n v="3158156658"/>
    <x v="0"/>
    <s v="Huila"/>
    <s v="Pitalito"/>
    <m/>
    <s v="RCE_260220_56"/>
    <d v="2026-02-23T00:00:00"/>
    <s v="No"/>
    <s v="Equipo Técnico Territorial"/>
    <s v="No"/>
    <s v="No Aprobado"/>
    <m/>
    <m/>
  </r>
  <r>
    <d v="2026-02-20T00:00:00"/>
    <s v="Andrés Alfonso Hurtado Acosta."/>
    <n v="76312186"/>
    <x v="1"/>
    <s v="https://drive.google.com/drive/folders/1X8o1U1hyFJjxmpYb80VCKnYk2td7aTIR?usp=sharing"/>
    <s v="320 3476246"/>
    <x v="3"/>
    <s v="Cauca"/>
    <s v="Popayán"/>
    <m/>
    <s v="RCE_260220_56"/>
    <d v="2026-02-23T00:00:00"/>
    <s v="No"/>
    <s v="Equipo Técnico Territorial"/>
    <s v="No"/>
    <s v="No Aprobado"/>
    <m/>
    <m/>
  </r>
  <r>
    <d v="2026-02-20T00:00:00"/>
    <s v="Laura Camila Samboni Claros"/>
    <n v="1006508594"/>
    <x v="1"/>
    <s v="https://drive.google.com/drive/folders/1nAOeL7HI_a67r6Nka7fLH5ChzcEIQV2E?usp=sharing"/>
    <n v="3112594086"/>
    <x v="0"/>
    <s v="Caquetá"/>
    <e v="#REF!"/>
    <m/>
    <s v="RCE_260220_56"/>
    <d v="2026-02-23T00:00:00"/>
    <s v="No"/>
    <s v="Equipo Técnico Territorial"/>
    <s v="No"/>
    <s v="No Aprobado"/>
    <m/>
    <m/>
  </r>
  <r>
    <d v="2026-02-20T00:00:00"/>
    <s v="EYMER MAURICIO OLARTE FRANCO"/>
    <n v="1010215164"/>
    <x v="2"/>
    <s v="https://drive.google.com/drive/folders/1pplkH45jOOETjC2UzclP_RY2xKwzXr9M?usp=sharing"/>
    <s v="304 306 0731 / 3202772268"/>
    <x v="4"/>
    <s v="Bogotá"/>
    <s v="Bogotá"/>
    <m/>
    <s v="RCE_260220_56"/>
    <d v="2026-02-23T00:00:00"/>
    <s v="No"/>
    <s v="Equipo Técnico Territorial"/>
    <s v="No"/>
    <s v="No Aprobado"/>
    <m/>
    <m/>
  </r>
  <r>
    <d v="2026-02-20T00:00:00"/>
    <s v="NOREICY YISET NIEVES AMAYA"/>
    <n v="1023886427"/>
    <x v="2"/>
    <s v="https://drive.google.com/drive/folders/1OdXlVzrrIYR3EOftON3Vd5vW2XKp9cYp?usp=sharing"/>
    <n v="3187768432"/>
    <x v="3"/>
    <s v="Putumayo"/>
    <e v="#REF!"/>
    <m/>
    <s v="RCE_260220_56"/>
    <d v="2026-02-23T00:00:00"/>
    <s v="No"/>
    <s v="Equipo Técnico Territorial"/>
    <s v="No"/>
    <s v="No Aprobado"/>
    <m/>
    <m/>
  </r>
  <r>
    <d v="2026-02-20T00:00:00"/>
    <s v="DELCY YISETH CASTRO CORTES"/>
    <n v="1111780999"/>
    <x v="2"/>
    <s v="https://drive.google.com/drive/folders/1P98iqOYdTCvRM86sEQ78-1yMbZM1lx8u?usp=sharing"/>
    <n v="3226400154"/>
    <x v="3"/>
    <s v="Valle del Cauca"/>
    <s v="Buenaventura"/>
    <m/>
    <s v="RCE_260220_56"/>
    <d v="2026-02-23T00:00:00"/>
    <s v="No"/>
    <s v="Equipo Técnico Territorial"/>
    <s v="No"/>
    <s v="No Aprobado"/>
    <m/>
    <m/>
  </r>
  <r>
    <d v="2026-02-20T00:00:00"/>
    <s v="Adriana Marcela Álvarez Vega"/>
    <n v="31446351"/>
    <x v="2"/>
    <s v="https://drive.google.com/drive/folders/142X4FG2UEQ_r-iuI0aDZe3BXDJldgqkj?usp=sharing"/>
    <n v="3014582418"/>
    <x v="0"/>
    <s v="Bogotá"/>
    <s v="Bogotá"/>
    <m/>
    <s v="RCE_260220_56"/>
    <d v="2026-02-23T00:00:00"/>
    <s v="No"/>
    <s v="Equipo Técnico Territorial"/>
    <s v="No"/>
    <s v="No Aprobado"/>
    <s v="Desiste del proceso de contratacion "/>
    <m/>
  </r>
  <r>
    <d v="2026-02-18T00:00:00"/>
    <s v="Karen Vanessa Laverde Angulo. "/>
    <n v="1023917401"/>
    <x v="3"/>
    <s v="https://drive.google.com/drive/folders/1gvubUHDSVkaZ6X27RTnSoVdb5MJDvI3G?usp=sharing"/>
    <s v="305 720 2353"/>
    <x v="3"/>
    <s v="Nariño"/>
    <e v="#REF!"/>
    <m/>
    <s v="RCE_260220_59"/>
    <m/>
    <s v="No"/>
    <s v="Equipo Nacional"/>
    <s v="No"/>
    <m/>
    <m/>
    <m/>
  </r>
  <r>
    <s v="20/02/2026_x000a_16/03/2026"/>
    <s v="Marylu Avellaneda Camrgo"/>
    <n v="27697036"/>
    <x v="1"/>
    <s v="https://drive.google.com/drive/folders/1yXCF8l1YQDbVODrwx5urWVkZPIRXGlRs?usp=sharing"/>
    <n v="3216303077"/>
    <x v="1"/>
    <s v="Norte de Santander"/>
    <s v="Cúcuta"/>
    <m/>
    <s v="RCE_260227_67_x000a_ RCE_260318_75"/>
    <m/>
    <s v="No"/>
    <s v="Equipo Técnico Territorial"/>
    <s v="No"/>
    <m/>
    <m/>
    <m/>
  </r>
  <r>
    <d v="2026-03-25T00:00:00"/>
    <s v="José Eduardo León Sánchez"/>
    <n v="1121710941"/>
    <x v="1"/>
    <s v="https://drive.google.com/drive/folders/1RSXEe5mKJaQfjjyIszozS4izfUc1drIU?usp=sharing"/>
    <n v="3137682961"/>
    <x v="0"/>
    <s v="Guainía"/>
    <s v="Inírida"/>
    <s v="RCE_260325_77"/>
    <m/>
    <m/>
    <s v="Sí"/>
    <s v="Equipo Técnico Territorial"/>
    <s v="No"/>
    <m/>
    <m/>
    <m/>
  </r>
  <r>
    <d v="2026-03-25T00:00:00"/>
    <s v="Arnoldo Echeverria Torres"/>
    <n v="91436305"/>
    <x v="1"/>
    <s v="https://drive.google.com/drive/folders/1JrntMK1SlbcZ2wAjnUftuY9gyBvS-LAW?usp=sharing"/>
    <s v="310 3509614 / 300 8976622"/>
    <x v="2"/>
    <s v="Atlántico"/>
    <s v="Dos Soledad"/>
    <s v="RCE_260325_77"/>
    <m/>
    <m/>
    <s v="Sí"/>
    <s v="Equipo Técnico Territorial"/>
    <s v="No"/>
    <m/>
    <m/>
    <m/>
  </r>
  <r>
    <d v="2026-03-25T00:00:00"/>
    <s v="Cindy Paola Sánchez Vasquez"/>
    <n v="1019063985"/>
    <x v="1"/>
    <s v="https://drive.google.com/drive/folders/1QLM3Npbrsog_ywmjRjSIHDDXxSPdoWq7?usp=sharing"/>
    <s v="310 3377155"/>
    <x v="0"/>
    <s v="Meta"/>
    <s v="Castillo"/>
    <s v="RCE_260325_77"/>
    <m/>
    <m/>
    <s v="Sí"/>
    <s v="Equipo Técnico Territorial"/>
    <s v="No"/>
    <m/>
    <m/>
    <m/>
  </r>
  <r>
    <d v="2026-03-25T00:00:00"/>
    <s v="Serna Valencia Fabian Andrés"/>
    <n v="1059596883"/>
    <x v="1"/>
    <s v="https://drive.google.com/drive/folders/1bg4QKO9D1h-vZ6rV1A3TYb1bXcBxiLTb?usp=sharing"/>
    <n v="3003767487"/>
    <x v="3"/>
    <s v="Cauca"/>
    <s v="Popayan"/>
    <s v="RCE_260325_77"/>
    <m/>
    <m/>
    <s v="Sí"/>
    <s v="Equipo Técnico Territorial"/>
    <s v="No"/>
    <m/>
    <m/>
    <m/>
  </r>
  <r>
    <d v="2026-03-25T00:00:00"/>
    <s v="Ahimelec Jácome Solano"/>
    <n v="1098750306"/>
    <x v="1"/>
    <s v="https://drive.google.com/drive/folders/13li8muV78AQeZWEtbK7Z-NSs3MSzOygC?usp=sharing"/>
    <n v="3163992408"/>
    <x v="1"/>
    <s v="Nariño"/>
    <s v="Pasto"/>
    <s v="RCE_260325_77"/>
    <m/>
    <m/>
    <s v="Sí"/>
    <s v="Equipo Técnico Territorial"/>
    <s v="No"/>
    <m/>
    <m/>
    <m/>
  </r>
  <r>
    <d v="2026-03-25T00:00:00"/>
    <s v="Marylu Avellaneda Camrgo"/>
    <n v="27697036"/>
    <x v="1"/>
    <s v="https://drive.google.com/drive/folders/1yXCF8l1YQDbVODrwx5urWVkZPIRXGlRs?usp=sharing"/>
    <s v="3216303077 - 3118489414"/>
    <x v="1"/>
    <s v="Norte de Santander"/>
    <s v="Cúcuta"/>
    <s v="RCE_260325_77"/>
    <m/>
    <m/>
    <s v="Sí"/>
    <s v="Equipo Técnico Territorial"/>
    <s v="No"/>
    <m/>
    <m/>
    <m/>
  </r>
  <r>
    <d v="2026-03-25T00:00:00"/>
    <s v="Diosemel Plata Villamizar"/>
    <n v="88033714"/>
    <x v="1"/>
    <s v="https://drive.google.com/drive/folders/1Dh55FHFBNhMgNmBQi-8aRrZxD85xJv5j?usp=sharing"/>
    <n v="3134854138"/>
    <x v="1"/>
    <s v="Norte de Santander"/>
    <s v="Convención"/>
    <s v="RCE_260325_77"/>
    <m/>
    <m/>
    <s v="Sí"/>
    <s v="Equipo Técnico Territorial"/>
    <s v="No"/>
    <m/>
    <m/>
    <m/>
  </r>
  <r>
    <d v="2026-03-25T00:00:00"/>
    <s v="Yessica Méndez"/>
    <n v="1090988078"/>
    <x v="1"/>
    <s v="https://drive.google.com/drive/folders/1QDpkl3J1wwtu__Wz-HZzUMxepzjifzXU?usp=sharing"/>
    <n v="3118953640"/>
    <x v="1"/>
    <s v="Norte de Santander"/>
    <s v="Convención"/>
    <s v="RCE_260325_77"/>
    <m/>
    <m/>
    <s v="Sí"/>
    <s v="Equipo Técnico Territorial"/>
    <s v="No"/>
    <m/>
    <m/>
    <m/>
  </r>
  <r>
    <d v="2026-03-25T00:00:00"/>
    <s v="Cristhian Marcel Paz Castillo"/>
    <n v="12749141"/>
    <x v="6"/>
    <s v="https://drive.google.com/drive/folders/1_51rF-wSRvrp-xsdsgSsdkPK_5-jVkOI?usp=sharing"/>
    <n v="3024347363"/>
    <x v="3"/>
    <s v="Nariño"/>
    <s v="Pasto"/>
    <s v="RCE_260325_77"/>
    <m/>
    <m/>
    <s v="Sí"/>
    <s v="Equipo Nacional"/>
    <s v="No"/>
    <m/>
    <m/>
    <m/>
  </r>
  <r>
    <d v="2026-03-25T00:00:00"/>
    <s v="Martha Mora Guerrero"/>
    <n v="1085903046"/>
    <x v="7"/>
    <s v="https://drive.google.com/drive/folders/1Qb7CThVl7CxoOZCBP3CjkPSx411V2x_U?usp=sharing"/>
    <n v="3002115581"/>
    <x v="3"/>
    <s v="Nariño"/>
    <s v="Pasto"/>
    <s v="RCE_260325_77"/>
    <m/>
    <m/>
    <s v="Sí"/>
    <s v="Equipo Técnico Territorial"/>
    <s v="No"/>
    <m/>
    <m/>
    <m/>
  </r>
  <r>
    <d v="2026-04-06T00:00:00"/>
    <s v="Maira Casas Rodriguez"/>
    <n v="1030558932"/>
    <x v="1"/>
    <s v="https://drive.google.com/drive/folders/1KqlbHuZMdmxPMVDLqZ24_xJHxcLTFv0Y?usp=sharing"/>
    <n v="3178903800"/>
    <x v="0"/>
    <s v="Bogotá"/>
    <s v="Bogotá"/>
    <s v="RCE_260408_79"/>
    <m/>
    <m/>
    <s v="Sí"/>
    <s v="Equipo Técnico Territorial"/>
    <s v="No"/>
    <m/>
    <m/>
    <m/>
  </r>
  <r>
    <d v="2026-04-06T00:00:00"/>
    <s v="Nahara Keyla Mussy Vega"/>
    <n v="64721391"/>
    <x v="1"/>
    <s v="https://drive.google.com/drive/folders/1Gm_Dy0hSejRiYTFQQVDYgbnDp4NVqlH5?usp=sharing"/>
    <n v="3114046181"/>
    <x v="2"/>
    <s v="Sucre"/>
    <s v="Sincelejo"/>
    <s v="RCE_260408_79"/>
    <m/>
    <m/>
    <s v="Sí"/>
    <s v="Equipo Técnico Territorial"/>
    <s v="No"/>
    <m/>
    <m/>
    <m/>
  </r>
  <r>
    <d v="2026-04-06T00:00:00"/>
    <s v="Jessica Lorena Martínez Espejo"/>
    <n v="1014299014"/>
    <x v="1"/>
    <s v="https://drive.google.com/drive/folders/1z2W7PtHwJBpPPShxmMhspaNp70jgw1Wr?usp=sharing"/>
    <s v="3143000442 - 3222688388"/>
    <x v="0"/>
    <s v="Bogotá"/>
    <s v="Bogotá"/>
    <s v="RCE_260408_79"/>
    <m/>
    <d v="2026-01-17T00:00:00"/>
    <s v="Sí"/>
    <s v="Equipo Técnico Territorial"/>
    <s v="No"/>
    <s v="No Aprobado"/>
    <m/>
    <m/>
  </r>
  <r>
    <d v="2026-04-06T00:00:00"/>
    <s v="María José Pinzon Delgado"/>
    <n v="1075297239"/>
    <x v="6"/>
    <s v="https://drive.google.com/drive/folders/1X92KO1GZgycpC-BUUpL9hGC3HDVBpIMs?usp=sharing"/>
    <n v="3204503031"/>
    <x v="0"/>
    <s v="Bogotá"/>
    <s v="Bogotá"/>
    <s v="RCE_260408_79"/>
    <m/>
    <m/>
    <s v="Sí"/>
    <s v="Equipo Nacional"/>
    <s v="No"/>
    <m/>
    <m/>
    <m/>
  </r>
  <r>
    <d v="2026-04-06T00:00:00"/>
    <s v="Angelo Giovanni Santos Muñoz"/>
    <n v="98668020"/>
    <x v="1"/>
    <s v="https://drive.google.com/drive/folders/1gj_DFcERPUJ0ycrXevebvtAYgb8lVC7O?usp=sharing"/>
    <n v="3116300485"/>
    <x v="4"/>
    <s v="Risaralda"/>
    <s v="Pereira"/>
    <s v="RCE_260408_79"/>
    <m/>
    <m/>
    <s v="Sí"/>
    <s v="Equipo Técnico Territorial"/>
    <s v="No"/>
    <m/>
    <m/>
    <m/>
  </r>
  <r>
    <d v="2026-04-06T00:00:00"/>
    <s v="Amarilis Buelvas Naranjo"/>
    <n v="25914912"/>
    <x v="2"/>
    <s v="https://drive.google.com/drive/folders/1yTI_wZZfGIb0B4v6Zn3D15RgmMKKu_Rd?usp=sharing"/>
    <n v="3008760973"/>
    <x v="3"/>
    <s v="Antioquia"/>
    <s v="Medellín"/>
    <s v="RCE_260408_79"/>
    <m/>
    <m/>
    <s v="Sí"/>
    <s v="Equipo Técnico Territorial"/>
    <s v="No"/>
    <m/>
    <m/>
    <m/>
  </r>
  <r>
    <d v="2026-04-06T00:00:00"/>
    <s v="Ángelo Giovanni Santos Muñoz"/>
    <n v="98668020"/>
    <x v="1"/>
    <s v="https://drive.google.com/drive/folders/1gj_DFcERPUJ0ycrXevebvtAYgb8lVC7O?usp=sharing"/>
    <n v="3116300485"/>
    <x v="4"/>
    <s v="Risaralda"/>
    <s v="Pereira"/>
    <s v="RCE_260410_81"/>
    <m/>
    <m/>
    <s v="Sí"/>
    <s v="Equipo Técnico Territorial"/>
    <s v="No"/>
    <m/>
    <m/>
    <m/>
  </r>
  <r>
    <d v="2026-04-06T00:00:00"/>
    <s v="Maira Casas Rodríguez"/>
    <n v="1030558932"/>
    <x v="1"/>
    <s v="https://drive.google.com/drive/folders/1KqlbHuZMdmxPMVDLqZ24_xJHxcLTFv0Y?usp=sharing"/>
    <n v="3178903800"/>
    <x v="0"/>
    <s v="Bogotá"/>
    <s v="Bogotá"/>
    <s v="RCE_260410_81"/>
    <m/>
    <m/>
    <s v="Sí"/>
    <s v="Equipo Técnico Territorial"/>
    <s v="No"/>
    <m/>
    <m/>
    <m/>
  </r>
  <r>
    <d v="2026-04-06T00:00:00"/>
    <s v="Nahara Keyla Mussy Vega"/>
    <n v="64721391"/>
    <x v="1"/>
    <s v="https://drive.google.com/drive/folders/1Gm_Dy0hSejRiYTFQQVDYgbnDp4NVqlH5?usp=sharing"/>
    <n v="3114046181"/>
    <x v="2"/>
    <s v="Sucre"/>
    <s v="Sincelejo"/>
    <s v="RCE_260410_81"/>
    <m/>
    <m/>
    <s v="Sí"/>
    <s v="Equipo Técnico Territorial"/>
    <s v="No"/>
    <m/>
    <m/>
    <m/>
  </r>
  <r>
    <d v="2026-04-06T00:00:00"/>
    <s v="Jessica Lorena Martínez Espejo "/>
    <n v="1014299014"/>
    <x v="1"/>
    <s v="https://drive.google.com/drive/folders/1z2W7PtHwJBpPPShxmMhspaNp70jgw1Wr?usp=sharing"/>
    <s v="3143000442 - 3222688388"/>
    <x v="0"/>
    <s v="Bogotá"/>
    <s v="Bogotá"/>
    <s v="RCE_260410_81"/>
    <m/>
    <d v="2026-01-17T00:00:00"/>
    <s v="Sí"/>
    <s v="Equipo Técnico Territorial"/>
    <s v="No"/>
    <m/>
    <m/>
    <m/>
  </r>
  <r>
    <d v="2026-04-06T00:00:00"/>
    <s v="Riky Andrés Carrillo Cadena"/>
    <n v="1102724007"/>
    <x v="5"/>
    <s v="https://drive.google.com/drive/folders/1RQBfRYdZzXEYs-tGHykN4pt5FjItF8-Z?usp=sharing"/>
    <n v="3132747639"/>
    <x v="0"/>
    <s v="Bogotá"/>
    <s v="Bogotá"/>
    <s v="RCE_260410_81"/>
    <m/>
    <d v="2026-01-13T00:00:00"/>
    <s v="Sí"/>
    <s v="Equipo Nacional"/>
    <s v="No"/>
    <m/>
    <m/>
    <m/>
  </r>
  <r>
    <d v="2026-04-06T00:00:00"/>
    <s v="María José Pinzon Delgado"/>
    <n v="1075297239"/>
    <x v="6"/>
    <s v="https://drive.google.com/drive/folders/1X92KO1GZgycpC-BUUpL9hGC3HDVBpIMs?usp=sharing"/>
    <n v="3204503031"/>
    <x v="0"/>
    <s v="Bogotá"/>
    <s v="Bogotá"/>
    <s v="RCE_260410_81"/>
    <m/>
    <m/>
    <s v="Sí"/>
    <s v="Equipo Nacional"/>
    <s v="No"/>
    <m/>
    <m/>
    <m/>
  </r>
  <r>
    <d v="2026-04-06T00:00:00"/>
    <s v="Amarilis Buelvas Naranjo "/>
    <n v="25914912"/>
    <x v="2"/>
    <s v="https://drive.google.com/drive/folders/1yTI_wZZfGIb0B4v6Zn3D15RgmMKKu_Rd?usp=sharing"/>
    <n v="3008760973"/>
    <x v="3"/>
    <s v="Antioquia"/>
    <s v="Medellín"/>
    <s v="RCE_260410_81"/>
    <m/>
    <m/>
    <s v="Sí"/>
    <s v="Equipo Técnico Territorial"/>
    <s v="No"/>
    <m/>
    <m/>
    <m/>
  </r>
  <r>
    <d v="2026-04-13T00:00:00"/>
    <s v="Heraclio Mejia Montalvo"/>
    <n v="18205564"/>
    <x v="1"/>
    <s v="https://drive.google.com/drive/folders/1eKt8iJYNSaausAccC-cQksT_Lfhl-_qU?usp=sharing"/>
    <s v="No presenta"/>
    <x v="0"/>
    <s v="Vaupés"/>
    <s v="Mitú"/>
    <s v="RCE_260420_83"/>
    <m/>
    <m/>
    <s v="Sí"/>
    <s v="Equipo Técnico Territorial"/>
    <s v="No"/>
    <m/>
    <m/>
    <m/>
  </r>
  <r>
    <d v="2026-04-13T00:00:00"/>
    <s v="Armando Licona Castillo"/>
    <n v="85463617"/>
    <x v="1"/>
    <s v="https://drive.google.com/drive/folders/1fRsJMty8G1fqGPgLc78PDwgugPgd2G0b?usp=sharing"/>
    <n v="3114083073"/>
    <x v="2"/>
    <s v="Magdalena"/>
    <s v="Santa Marta"/>
    <s v="RCE_260420_83"/>
    <m/>
    <m/>
    <s v="Sí"/>
    <s v="Equipo Técnico Territorial"/>
    <s v="No"/>
    <m/>
    <m/>
    <m/>
  </r>
  <r>
    <d v="2026-04-13T00:00:00"/>
    <s v="Reyneth Daren Ortiz Rocha"/>
    <n v="72343222"/>
    <x v="1"/>
    <s v="https://drive.google.com/drive/folders/1UkMLMXPjCf7mOXxwz5wW6otlHQYt8Ol8?usp=sharing"/>
    <n v="3125140492"/>
    <x v="2"/>
    <s v="Sucre"/>
    <s v="Coloso"/>
    <s v="RCE_260420_83"/>
    <m/>
    <m/>
    <s v="Sí"/>
    <s v="Equipo Técnico Territorial"/>
    <s v="No"/>
    <m/>
    <m/>
    <m/>
  </r>
  <r>
    <d v="2026-04-13T00:00:00"/>
    <s v="Juan Carlos Villero Escobar"/>
    <n v="1065606527"/>
    <x v="1"/>
    <s v="https://drive.google.com/drive/folders/147F16wgGPWKQRajNtS5U7JirG9ja4foZ?usp=sharing"/>
    <n v="7273648"/>
    <x v="2"/>
    <s v="Cesar"/>
    <s v="valledupar"/>
    <s v="RCE_260420_83"/>
    <m/>
    <m/>
    <s v="Sí"/>
    <s v="Equipo Técnico Territorial"/>
    <s v="No"/>
    <m/>
    <m/>
    <m/>
  </r>
  <r>
    <d v="2026-04-13T00:00:00"/>
    <s v="Claudia Patricia Ramírez Cuellar"/>
    <n v="38143252"/>
    <x v="1"/>
    <s v="https://drive.google.com/drive/folders/15KahGXeHq5DLR385ld63FoEEHPhGaVKf?usp=sharing"/>
    <n v="2650549"/>
    <x v="4"/>
    <s v="Tolima"/>
    <s v="Ibagué"/>
    <s v="RCE_260420_83"/>
    <m/>
    <m/>
    <s v="Sí"/>
    <s v="Equipo Técnico Territorial"/>
    <s v="No"/>
    <m/>
    <m/>
    <m/>
  </r>
  <r>
    <d v="2026-04-13T00:00:00"/>
    <s v="Nestor Enrique Mendivil Delgado"/>
    <n v="18776568"/>
    <x v="1"/>
    <s v="https://drive.google.com/drive/folders/1G4ZRHqRvToaU_qNdqpGYFRyKWlhOljD0?usp=sharing"/>
    <n v="3014810203"/>
    <x v="2"/>
    <s v="Sucre"/>
    <s v="Sincelejo"/>
    <s v="RCE_260420_83"/>
    <m/>
    <m/>
    <s v="Sí"/>
    <s v="Equipo Técnico Territorial"/>
    <s v="No"/>
    <m/>
    <m/>
    <m/>
  </r>
  <r>
    <d v="2026-04-13T00:00:00"/>
    <s v="Fredy Iván Paz Perea"/>
    <n v="12020925"/>
    <x v="4"/>
    <s v="https://drive.google.com/drive/folders/11CvhXdxiHwFHq_CDyUaLkC-pv9rT3JCy?usp=sharing"/>
    <n v="3128074931"/>
    <x v="3"/>
    <s v="Chocó"/>
    <s v="Quibdó"/>
    <s v="RCE_260420_83"/>
    <m/>
    <m/>
    <s v="Sí"/>
    <s v="Equipo Nacional"/>
    <s v="No"/>
    <m/>
    <m/>
    <m/>
  </r>
  <r>
    <d v="2026-04-13T00:00:00"/>
    <s v="Daniela Indira Parra Caro"/>
    <n v="1016090195"/>
    <x v="2"/>
    <s v="https://drive.google.com/drive/folders/1bfHyKzCoTRwNVaijG_m5mf0U4rMPzmLK?usp=sharing"/>
    <n v="3043972954"/>
    <x v="0"/>
    <s v="Bogotá"/>
    <s v="´Bogotá"/>
    <s v="RCE_260420_83"/>
    <m/>
    <m/>
    <s v="Sí"/>
    <s v="Equipo Técnico Territorial"/>
    <s v="No"/>
    <m/>
    <m/>
    <m/>
  </r>
  <r>
    <d v="2026-04-13T00:00:00"/>
    <s v="Sandro Jesús Gómez Uribe"/>
    <n v="18204405"/>
    <x v="1"/>
    <s v="https://drive.google.com/drive/folders/1Bq6rxrF-gLH_6y2vR_WUGtswTEnsLX5_?usp=sharing"/>
    <n v="3229171865"/>
    <x v="0"/>
    <s v="Vaupés"/>
    <s v="Mitú"/>
    <m/>
    <s v="RCE_260420_83"/>
    <m/>
    <s v="No"/>
    <s v="Equipo Técnico Territorial"/>
    <s v="No"/>
    <m/>
    <m/>
    <m/>
  </r>
  <r>
    <d v="2026-04-21T00:00:00"/>
    <s v="Marta Cecilia Manchego Torres"/>
    <n v="32739219"/>
    <x v="1"/>
    <s v="https://drive.google.com/drive/folders/1VW2R_clEdmuIY5w8oC3gyULAfAuKBFNT?usp=sharing"/>
    <n v="3005677533"/>
    <x v="2"/>
    <s v="Atlántico"/>
    <s v="Barranquilla"/>
    <m/>
    <s v="RCE_260425_86"/>
    <m/>
    <s v="No"/>
    <s v="Equipo Técnico Territorial"/>
    <s v="No"/>
    <m/>
    <m/>
    <m/>
  </r>
  <r>
    <d v="2026-04-21T00:00:00"/>
    <s v="Oscar Luis Arias Jaraba"/>
    <n v="3829931"/>
    <x v="1"/>
    <s v="https://drive.google.com/drive/folders/1At8XkAr8afuOE1ndQriARlhyWmQXkWAY?usp=sharing"/>
    <n v="3135410685"/>
    <x v="2"/>
    <s v="Bolívar"/>
    <s v="El carmen de Bolívar"/>
    <m/>
    <s v="RCE_260425_86"/>
    <m/>
    <s v="No"/>
    <s v="Equipo Técnico Territorial"/>
    <s v="No"/>
    <m/>
    <m/>
    <m/>
  </r>
  <r>
    <d v="2026-04-21T00:00:00"/>
    <s v="Yovana Catalina Rincón Acero"/>
    <n v="1052390618"/>
    <x v="1"/>
    <s v="https://drive.google.com/drive/folders/1Zuz3mIlqwkuHdyEyaRVjAgC3elO13oNc?usp=sharing"/>
    <n v="3102736036"/>
    <x v="1"/>
    <s v="Boyacá"/>
    <s v="Duitama"/>
    <m/>
    <s v="RCE_260425_86"/>
    <m/>
    <s v="No"/>
    <s v="Equipo Técnico Territorial"/>
    <s v="No"/>
    <m/>
    <m/>
    <m/>
  </r>
  <r>
    <d v="2026-04-21T00:00:00"/>
    <s v="Ronald Yesid Palencia Vuelvas"/>
    <n v="73435975"/>
    <x v="1"/>
    <s v="https://drive.google.com/drive/folders/1L_9mFSZdxboQViamJEDTK2030bEcJT16?usp=sharing"/>
    <n v="3002621973"/>
    <x v="2"/>
    <s v="Bolívar"/>
    <s v="El carmen de Bolívar"/>
    <m/>
    <s v="RCE_260425_86"/>
    <m/>
    <s v="No"/>
    <s v="Equipo Técnico Territorial"/>
    <s v="No"/>
    <m/>
    <m/>
    <m/>
  </r>
  <r>
    <d v="2026-04-21T00:00:00"/>
    <s v="Michael Mc Donald Harding Lozano"/>
    <n v="1082977834"/>
    <x v="1"/>
    <s v="https://drive.google.com/drive/folders/1vvr3fbIWfifpOxvCBeua26E-vC5eU-yp?usp=sharing"/>
    <n v="3103719283"/>
    <x v="2"/>
    <s v="Magdalena"/>
    <s v="Santa Marta"/>
    <m/>
    <s v="RCE_260425_86"/>
    <m/>
    <s v="No"/>
    <s v="Equipo Técnico Territorial"/>
    <s v="No"/>
    <m/>
    <m/>
    <m/>
  </r>
  <r>
    <d v="2026-04-21T00:00:00"/>
    <s v="Jhon Freddy Mejía Rojas "/>
    <n v="1107064993"/>
    <x v="1"/>
    <s v="https://drive.google.com/drive/folders/1yicYjDvOcqFAZALiB9NgTgTy4aqCvEZr?usp=sharing"/>
    <n v="3103624086"/>
    <x v="3"/>
    <s v="Valle"/>
    <s v="Cali"/>
    <m/>
    <s v="RCE_260425_86"/>
    <m/>
    <s v="No"/>
    <s v="Equipo Técnico Territorial"/>
    <s v="No"/>
    <m/>
    <m/>
    <m/>
  </r>
  <r>
    <d v="2026-04-21T00:00:00"/>
    <s v="Juan David Suárez Becerra"/>
    <n v="1059698203"/>
    <x v="1"/>
    <s v="https://drive.google.com/drive/folders/11zfml86h3EvBTajNGOx71eFs2VRdaPAU?usp=sharing"/>
    <n v="3122832537"/>
    <x v="4"/>
    <s v="Caldas"/>
    <s v="Aguadas"/>
    <m/>
    <s v="RCE_260425_86"/>
    <m/>
    <s v="No"/>
    <s v="Equipo Técnico Territorial"/>
    <s v="No"/>
    <m/>
    <m/>
    <m/>
  </r>
  <r>
    <d v="2026-04-21T00:00:00"/>
    <s v="Imer Alberto Avendaño Tabaco "/>
    <n v="1118776123"/>
    <x v="1"/>
    <s v="https://drive.google.com/drive/folders/1Eoq2oEkA_rDyMnNYp1anL0MK8riCfrrG?usp=sharing"/>
    <n v="3208666885"/>
    <x v="1"/>
    <s v="Casanare"/>
    <s v="San Luis de Palenque"/>
    <m/>
    <s v="RCE_260425_86"/>
    <m/>
    <s v="No"/>
    <s v="Equipo Técnico Territorial"/>
    <s v="No"/>
    <m/>
    <m/>
    <m/>
  </r>
  <r>
    <d v="2026-04-21T00:00:00"/>
    <s v="Álvaro José Flórez Álvarez"/>
    <n v="92546476"/>
    <x v="1"/>
    <s v="https://drive.google.com/drive/folders/1J8kyscSw3eDzOGoeV5ex4F8S1T6JvPNS?usp=sharing"/>
    <n v="3015983681"/>
    <x v="2"/>
    <s v="Sucre"/>
    <s v="Sincelejo"/>
    <s v="RCE_260425_87"/>
    <m/>
    <m/>
    <s v="Sí"/>
    <s v="Equipo Técnico Territorial"/>
    <s v="No"/>
    <m/>
    <m/>
    <m/>
  </r>
  <r>
    <d v="2026-04-21T00:00:00"/>
    <s v="Felipe Santiago Angulo Sanclemente"/>
    <n v="94443277"/>
    <x v="1"/>
    <s v="https://drive.google.com/drive/folders/1t50_Uf68o3lbjsqlEPG_qcX1s-ZGVwo_?usp=sharing"/>
    <n v="3161413874"/>
    <x v="3"/>
    <s v="Valle del Cauca"/>
    <s v="Buenaventura"/>
    <s v="RCE_260425_87"/>
    <m/>
    <m/>
    <s v="Sí"/>
    <s v="Equipo Técnico Territorial"/>
    <s v="No"/>
    <m/>
    <m/>
    <m/>
  </r>
  <r>
    <d v="2026-04-21T00:00:00"/>
    <s v="Jaiber Jesús Arena Escorcia"/>
    <n v="1140819694"/>
    <x v="1"/>
    <s v="https://drive.google.com/drive/folders/1HVUPYPvAufnduz-GNWSXuiMcVws-aPer?usp=sharing"/>
    <n v="3114160045"/>
    <x v="2"/>
    <s v="Atlántico"/>
    <s v="Soledad"/>
    <s v="RCE_260425_87"/>
    <m/>
    <m/>
    <s v="Sí"/>
    <s v="Equipo Técnico Territorial"/>
    <s v="No"/>
    <m/>
    <m/>
    <m/>
  </r>
  <r>
    <d v="2026-04-21T00:00:00"/>
    <s v="José Ricardo Pava Pava"/>
    <n v="74183188"/>
    <x v="1"/>
    <s v="https://drive.google.com/drive/folders/1S1aOvidHap8vf6fBx5fyj9fhFQXz48wS?usp=sharing"/>
    <n v="3144610194"/>
    <x v="1"/>
    <s v="Boyacá"/>
    <s v="Sogamoso"/>
    <s v="RCE_260425_87"/>
    <m/>
    <m/>
    <s v="Sí"/>
    <s v="Equipo Técnico Territorial"/>
    <s v="No"/>
    <m/>
    <m/>
    <m/>
  </r>
  <r>
    <d v="2026-04-21T00:00:00"/>
    <s v="Héctor Andrey Vargas Acosta"/>
    <n v="91530042"/>
    <x v="1"/>
    <s v="https://drive.google.com/drive/folders/1kjbOPqBZ82BKtbUhvVIoEsmKCH2ksApM?usp=sharing"/>
    <n v="3163391663"/>
    <x v="2"/>
    <s v="Bolívar"/>
    <s v="Santa Rosa del Sur"/>
    <s v="RCE_260425_87"/>
    <m/>
    <m/>
    <s v="Sí"/>
    <s v="Equipo Técnico Territorial"/>
    <s v="No"/>
    <m/>
    <m/>
    <m/>
  </r>
  <r>
    <d v="2026-04-21T00:00:00"/>
    <s v="Kelly Sánchez Vergara"/>
    <n v="1083014875"/>
    <x v="1"/>
    <s v="https://drive.google.com/drive/folders/1ITRVjZiGhT7MExIr6hOvUQ1kOhhdmVU6?usp=sharing"/>
    <n v="3042479268"/>
    <x v="2"/>
    <s v="Magdalena"/>
    <s v="Santa Marta"/>
    <s v="RCE_260425_87"/>
    <m/>
    <m/>
    <s v="Sí"/>
    <s v="Equipo Técnico Territorial"/>
    <s v="No"/>
    <m/>
    <m/>
    <m/>
  </r>
  <r>
    <d v="2026-04-21T00:00:00"/>
    <s v="Marwin Villegas Obregon"/>
    <n v="1061723865"/>
    <x v="1"/>
    <s v="https://drive.google.com/drive/folders/1dK2G_LDGSfuzKK2aaR7hAD-2I_lhNFs1?usp=sharing"/>
    <s v="3135710708 – 3182412171"/>
    <x v="4"/>
    <s v="Valle del Cauca"/>
    <s v="Yotoco"/>
    <s v="RCE_260425_87"/>
    <m/>
    <m/>
    <s v="Sí"/>
    <s v="Equipo Técnico Territorial"/>
    <s v="No"/>
    <m/>
    <m/>
    <m/>
  </r>
  <r>
    <d v="2026-04-21T00:00:00"/>
    <s v="Fabian De Jesús Acosta Moreno"/>
    <n v="92555731"/>
    <x v="1"/>
    <s v="https://drive.google.com/drive/folders/1CK2rffDq4yF7teXWNoN4r7NOZTZjC6Oy?usp=sharing"/>
    <n v="3216865678"/>
    <x v="2"/>
    <s v="Bolívar"/>
    <s v="Santa Rosa del Sur"/>
    <s v="RCE_260425_87"/>
    <m/>
    <m/>
    <s v="Sí"/>
    <s v="Equipo Técnico Territorial"/>
    <s v="No"/>
    <m/>
    <m/>
    <m/>
  </r>
  <r>
    <d v="2026-04-21T00:00:00"/>
    <s v="Omar Javier Ramos Tapia"/>
    <n v="1102838221"/>
    <x v="1"/>
    <s v="https://drive.google.com/drive/folders/1gv7rtwX1KVlhVV80Y6s4BPiXkfePFeH4?usp=sharing"/>
    <n v="3007099980"/>
    <x v="2"/>
    <s v="Magdalena"/>
    <s v="Santa Marta"/>
    <s v="RCE_260425_87"/>
    <m/>
    <m/>
    <s v="Sí"/>
    <s v="Equipo Técnico Territorial"/>
    <s v="No"/>
    <m/>
    <m/>
    <m/>
  </r>
  <r>
    <d v="2026-04-21T00:00:00"/>
    <s v="Sandra Rocío Pinto Acero"/>
    <n v="46456874"/>
    <x v="1"/>
    <s v="https://drive.google.com/drive/folders/17BeDKfGZmlANjPsHwpAzB_jQPH9Kj_-Q?usp=sharing"/>
    <n v="3204583257"/>
    <x v="1"/>
    <s v="Boyacá"/>
    <s v="Tunja"/>
    <s v="RCE_260425_87"/>
    <m/>
    <m/>
    <s v="Sí"/>
    <s v="Equipo Técnico Territorial"/>
    <s v="No"/>
    <m/>
    <m/>
    <m/>
  </r>
  <r>
    <d v="2026-04-21T00:00:00"/>
    <s v="Eliana Peñuela Vergara"/>
    <n v="1106949670"/>
    <x v="1"/>
    <s v="https://drive.google.com/drive/folders/1AjtlFEp-zciO4Dw9IfxVVN2B0sGsNJN4?usp=sharing"/>
    <n v="3134359730"/>
    <x v="4"/>
    <s v="Tolima"/>
    <s v="Palocabildo"/>
    <s v="RCE_260425_88"/>
    <m/>
    <m/>
    <s v="Sí"/>
    <s v="Equipo Técnico Territorial"/>
    <s v="No"/>
    <m/>
    <m/>
    <m/>
  </r>
  <r>
    <d v="2026-04-21T00:00:00"/>
    <s v="Jesús Manuel Martínez Cervantes "/>
    <n v="1082977578"/>
    <x v="1"/>
    <s v="https://drive.google.com/drive/folders/1fayGHyvvi6kZ_YO4R_MUilyv6TZAN-HC?usp=sharing"/>
    <n v="3007849211"/>
    <x v="2"/>
    <s v="Magdalena"/>
    <s v="Santa Marta"/>
    <s v="RCE_260425_88"/>
    <m/>
    <m/>
    <s v="Sí"/>
    <s v="Equipo Técnico Territorial"/>
    <s v="No"/>
    <m/>
    <m/>
    <m/>
  </r>
  <r>
    <d v="2026-04-21T00:00:00"/>
    <s v="Sandro Jesús Gómez Uribe"/>
    <n v="18204405"/>
    <x v="1"/>
    <s v="https://drive.google.com/drive/folders/1Bq6rxrF-gLH_6y2vR_WUGtswTEnsLX5_?usp=sharing"/>
    <n v="3229171865"/>
    <x v="0"/>
    <s v="Vaupés"/>
    <s v="Mitú"/>
    <s v="RCE_260425_88"/>
    <m/>
    <m/>
    <s v="Sí"/>
    <s v="Equipo Técnico Territorial"/>
    <s v="No"/>
    <m/>
    <m/>
    <m/>
  </r>
  <r>
    <d v="2026-04-21T00:00:00"/>
    <s v="Yaneth Emilia Villegas Gutiérrez"/>
    <n v="49765380"/>
    <x v="1"/>
    <s v="https://drive.google.com/drive/folders/1dEussDKs-80CBV8dJQwLe57IVYDh4szO?usp=sharing"/>
    <n v="3152834457"/>
    <x v="2"/>
    <s v="Cesar"/>
    <s v="Valledupar"/>
    <s v="RCE_260425_88"/>
    <m/>
    <m/>
    <s v="Sí"/>
    <s v="Equipo Técnico Territorial"/>
    <s v="No"/>
    <m/>
    <m/>
    <m/>
  </r>
  <r>
    <d v="2026-04-21T00:00:00"/>
    <s v="Raquel Yulieth De La Cruz Reales"/>
    <n v="1065595926"/>
    <x v="4"/>
    <s v="https://drive.google.com/drive/folders/1I0pF2bPWVCsyGnHn7vfA50lp9fFLgy7H?usp=sharing"/>
    <n v="3007792215"/>
    <x v="2"/>
    <s v="Cesar"/>
    <s v="Valledupar"/>
    <s v="RCE_260425_88"/>
    <m/>
    <m/>
    <s v="Sí"/>
    <s v="Equipo Nacional"/>
    <s v="No"/>
    <m/>
    <m/>
    <m/>
  </r>
  <r>
    <d v="2026-04-21T00:00:00"/>
    <s v="Mario Josué Sandoval Gómez"/>
    <n v="88200664"/>
    <x v="4"/>
    <s v="https://drive.google.com/drive/folders/1Qmhw0IaDWEDWObR5uewjSwYxQU4CCnUm?usp=sharing"/>
    <n v="3165346128"/>
    <x v="0"/>
    <s v="Bogotá"/>
    <s v="Bogotá"/>
    <s v="RCE_260425_88"/>
    <m/>
    <m/>
    <s v="Sí"/>
    <s v="Equipo Nacional"/>
    <s v="No"/>
    <m/>
    <m/>
    <m/>
  </r>
  <r>
    <d v="2026-04-21T00:00:00"/>
    <s v="Ingrid Viviana Rodríguez Latorre"/>
    <n v="1018463353"/>
    <x v="4"/>
    <s v="https://drive.google.com/drive/folders/1qQfjqRe_AvHd3LddKKmBuenVlQ0TfkEm?usp=sharing"/>
    <n v="3134044195"/>
    <x v="0"/>
    <s v="Bogotá"/>
    <s v="Bogotá"/>
    <s v="RCE_260425_88"/>
    <m/>
    <m/>
    <s v="Sí"/>
    <s v="Equipo Nacional"/>
    <s v="No"/>
    <m/>
    <m/>
    <m/>
  </r>
  <r>
    <d v="2026-04-21T00:00:00"/>
    <s v="Lisbeth Legarda Beltran"/>
    <n v="36296768"/>
    <x v="2"/>
    <s v="https://drive.google.com/drive/folders/1JZnYDEdR7sCOncl0kAE_MlAUL5hE1Lt1?usp=sharing"/>
    <n v="3144535484"/>
    <x v="0"/>
    <s v="Huila"/>
    <s v="Pitalito"/>
    <s v="RCE_260425_88"/>
    <m/>
    <m/>
    <s v="Sí"/>
    <s v="Equipo Técnico Territorial"/>
    <s v="No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B604D-0E32-488B-86B6-90C1206253A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48" firstHeaderRow="1" firstDataRow="1" firstDataCol="1"/>
  <pivotFields count="18">
    <pivotField showAll="0"/>
    <pivotField showAll="0"/>
    <pivotField showAll="0"/>
    <pivotField axis="axisRow" showAll="0">
      <items count="10">
        <item x="3"/>
        <item x="0"/>
        <item x="1"/>
        <item x="4"/>
        <item x="8"/>
        <item x="5"/>
        <item x="6"/>
        <item x="2"/>
        <item x="7"/>
        <item t="default"/>
      </items>
    </pivotField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3"/>
  </rowFields>
  <rowItems count="4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Cuenta de Respuesta aprobació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29B74-FEC2-48CE-91FC-CC1B7CE77F3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53" firstHeaderRow="0" firstDataRow="1" firstDataCol="1"/>
  <pivotFields count="15">
    <pivotField showAll="0"/>
    <pivotField showAll="0"/>
    <pivotField showAll="0"/>
    <pivotField axis="axisRow" showAll="0">
      <items count="10">
        <item x="3"/>
        <item x="0"/>
        <item x="1"/>
        <item x="4"/>
        <item x="8"/>
        <item x="5"/>
        <item x="6"/>
        <item x="2"/>
        <item x="7"/>
        <item t="default"/>
      </items>
    </pivotField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3"/>
    <field x="6"/>
  </rowFields>
  <rowItems count="50">
    <i>
      <x/>
    </i>
    <i r="1">
      <x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spuesta aprobación" fld="9" subtotal="count" baseField="0" baseItem="0"/>
    <dataField name="Cuenta de NO aprobado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_AMPWLRLhs9UCuuoAp-qv8CkKyaAEt8e?usp=sharing" TargetMode="External"/><Relationship Id="rId13" Type="http://schemas.openxmlformats.org/officeDocument/2006/relationships/hyperlink" Target="https://drive.google.com/drive/folders/1xgQZGQhuuamPYxKsan7XdLi8Z7swPnAe?usp=sharing" TargetMode="External"/><Relationship Id="rId18" Type="http://schemas.openxmlformats.org/officeDocument/2006/relationships/hyperlink" Target="https://drive.google.com/drive/folders/16wH6NxnJMmSo8zwvWnTAhucha-H3tsQf?usp=sharing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drive.google.com/drive/folders/1oLe1zCQmHPYbfisOdpLqvkIZjIhSIAhq?usp=sharing" TargetMode="External"/><Relationship Id="rId21" Type="http://schemas.openxmlformats.org/officeDocument/2006/relationships/hyperlink" Target="https://drive.google.com/drive/folders/1AdSxOQWHki3W5ThnUvzxoJC6BOdvqwnk?usp=sharing" TargetMode="External"/><Relationship Id="rId7" Type="http://schemas.openxmlformats.org/officeDocument/2006/relationships/hyperlink" Target="https://drive.google.com/drive/folders/1baMB6wOqbkYAG958i6P_2smWvhlOyD4d?usp=sharing" TargetMode="External"/><Relationship Id="rId12" Type="http://schemas.openxmlformats.org/officeDocument/2006/relationships/hyperlink" Target="https://drive.google.com/drive/folders/1i_FenY0A53_w6FWD2Klo_0hc-h92n_yW?usp=sharing" TargetMode="External"/><Relationship Id="rId17" Type="http://schemas.openxmlformats.org/officeDocument/2006/relationships/hyperlink" Target="https://drive.google.com/drive/folders/1Cb0E56pcjUGZKg0BtSGmAoylsejlMJ8v?usp=sharing" TargetMode="External"/><Relationship Id="rId25" Type="http://schemas.openxmlformats.org/officeDocument/2006/relationships/hyperlink" Target="https://drive.google.com/drive/folders/1EDAC0yGix88u7Byv-kCeGmcI4hd2pjI8?usp=sharing" TargetMode="External"/><Relationship Id="rId2" Type="http://schemas.openxmlformats.org/officeDocument/2006/relationships/hyperlink" Target="https://drive.google.com/drive/folders/1rkQIdFt1WGlLYKjhqoFRbxQBNssFIaC6?usp=sharing" TargetMode="External"/><Relationship Id="rId16" Type="http://schemas.openxmlformats.org/officeDocument/2006/relationships/hyperlink" Target="https://drive.google.com/drive/folders/1WMDbcedLZsMrlhDATxBwMqRGLlBvjzD_?usp=sharing" TargetMode="External"/><Relationship Id="rId20" Type="http://schemas.openxmlformats.org/officeDocument/2006/relationships/hyperlink" Target="https://drive.google.com/drive/folders/1qY92bVHLI145nKE3mIsV-9ow1m05nd42?usp=sharing" TargetMode="External"/><Relationship Id="rId1" Type="http://schemas.openxmlformats.org/officeDocument/2006/relationships/hyperlink" Target="https://drive.google.com/drive/folders/1ZbFj6Oqb6pNmPcNtYyopfi8AGs19ol20?usp=sharing" TargetMode="External"/><Relationship Id="rId6" Type="http://schemas.openxmlformats.org/officeDocument/2006/relationships/hyperlink" Target="https://drive.google.com/drive/folders/1gOAQgiJWdtAz2zVaIo47a3Dp1bzqA0AX?usp=sharing" TargetMode="External"/><Relationship Id="rId11" Type="http://schemas.openxmlformats.org/officeDocument/2006/relationships/hyperlink" Target="https://drive.google.com/drive/folders/1nRmFrzoeCb8KCg35ByPH2YgTy72O_u4j?usp=sharing" TargetMode="External"/><Relationship Id="rId24" Type="http://schemas.openxmlformats.org/officeDocument/2006/relationships/hyperlink" Target="https://drive.google.com/drive/folders/1gT1Q_3bKK-B0IFTipcqObYj-WJ1A8ikj?usp=sharing" TargetMode="External"/><Relationship Id="rId5" Type="http://schemas.openxmlformats.org/officeDocument/2006/relationships/hyperlink" Target="https://drive.google.com/drive/folders/1RrJH-MuSkpCyGslkvn7IJTLSeol2kvg7?usp=sharing" TargetMode="External"/><Relationship Id="rId15" Type="http://schemas.openxmlformats.org/officeDocument/2006/relationships/hyperlink" Target="https://drive.google.com/drive/folders/10RUo45vSGDMnQzGC_nMk5sI48qqQE1_h?usp=sharing" TargetMode="External"/><Relationship Id="rId23" Type="http://schemas.openxmlformats.org/officeDocument/2006/relationships/hyperlink" Target="https://drive.google.com/drive/folders/13wfadvEbCJIWQIUxECE1J5R4NJzPPpra?usp=sharing" TargetMode="External"/><Relationship Id="rId10" Type="http://schemas.openxmlformats.org/officeDocument/2006/relationships/hyperlink" Target="https://drive.google.com/drive/folders/19U-sYfuMWPYvpq-EseO_D56TGAKFD_Rw?usp=sharing" TargetMode="External"/><Relationship Id="rId19" Type="http://schemas.openxmlformats.org/officeDocument/2006/relationships/hyperlink" Target="https://drive.google.com/drive/folders/11YRmQgybbJZAHo_jiLawi24Mxn8b1fql?usp=sharing" TargetMode="External"/><Relationship Id="rId4" Type="http://schemas.openxmlformats.org/officeDocument/2006/relationships/hyperlink" Target="https://drive.google.com/drive/folders/180R98HGcQBwgxG8vm2-H4ChGsDu0j-XV?usp=sharing" TargetMode="External"/><Relationship Id="rId9" Type="http://schemas.openxmlformats.org/officeDocument/2006/relationships/hyperlink" Target="https://drive.google.com/drive/folders/1ZSv7w7BNbikPmsmk6s9oi7NpoXLWuiHh?usp=sharing" TargetMode="External"/><Relationship Id="rId14" Type="http://schemas.openxmlformats.org/officeDocument/2006/relationships/hyperlink" Target="https://drive.google.com/drive/folders/1anmw8HHSxJWxO4XXE2YeCIxUbrGlM12u?usp=sharing" TargetMode="External"/><Relationship Id="rId22" Type="http://schemas.openxmlformats.org/officeDocument/2006/relationships/hyperlink" Target="https://drive.google.com/drive/folders/1wrLb6WVGkZNMn4-8fb5GpcYclshLPNrZ?usp=sharing" TargetMode="External"/><Relationship Id="rId27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B2Psekhu1jgtEOU-CYzs3z_Q_0PlKstw?usp=sharing" TargetMode="External"/><Relationship Id="rId1" Type="http://schemas.openxmlformats.org/officeDocument/2006/relationships/hyperlink" Target="https://drive.google.com/drive/folders/1g2UZ9p3ff192jGokvNBKV2UmCrPWooz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052B-2F00-4F59-8FE6-FAF6BEB50ACC}">
  <dimension ref="A1:E48"/>
  <sheetViews>
    <sheetView topLeftCell="A28" workbookViewId="0">
      <selection activeCell="D39" sqref="D39"/>
    </sheetView>
  </sheetViews>
  <sheetFormatPr baseColWidth="10" defaultRowHeight="14.4" x14ac:dyDescent="0.3"/>
  <cols>
    <col min="1" max="1" width="44.109375" bestFit="1" customWidth="1"/>
    <col min="2" max="2" width="28.88671875" bestFit="1" customWidth="1"/>
    <col min="3" max="3" width="14.5546875" bestFit="1" customWidth="1"/>
    <col min="4" max="4" width="48.77734375" bestFit="1" customWidth="1"/>
  </cols>
  <sheetData>
    <row r="1" spans="1:5" x14ac:dyDescent="0.3">
      <c r="A1" s="19" t="s">
        <v>1540</v>
      </c>
      <c r="B1" t="s">
        <v>1542</v>
      </c>
      <c r="D1" s="27"/>
      <c r="E1" s="27"/>
    </row>
    <row r="2" spans="1:5" x14ac:dyDescent="0.3">
      <c r="A2" s="20">
        <v>1</v>
      </c>
      <c r="B2">
        <v>96</v>
      </c>
    </row>
    <row r="3" spans="1:5" x14ac:dyDescent="0.3">
      <c r="A3" s="21" t="s">
        <v>366</v>
      </c>
      <c r="B3">
        <v>1</v>
      </c>
    </row>
    <row r="4" spans="1:5" x14ac:dyDescent="0.3">
      <c r="A4" s="21" t="s">
        <v>389</v>
      </c>
      <c r="B4">
        <v>3</v>
      </c>
    </row>
    <row r="5" spans="1:5" x14ac:dyDescent="0.3">
      <c r="A5" s="21" t="s">
        <v>101</v>
      </c>
      <c r="B5">
        <v>57</v>
      </c>
    </row>
    <row r="6" spans="1:5" x14ac:dyDescent="0.3">
      <c r="A6" s="21" t="s">
        <v>383</v>
      </c>
      <c r="B6">
        <v>2</v>
      </c>
    </row>
    <row r="7" spans="1:5" x14ac:dyDescent="0.3">
      <c r="A7" s="21" t="s">
        <v>382</v>
      </c>
    </row>
    <row r="8" spans="1:5" x14ac:dyDescent="0.3">
      <c r="A8" s="21" t="s">
        <v>261</v>
      </c>
      <c r="B8">
        <v>6</v>
      </c>
    </row>
    <row r="9" spans="1:5" x14ac:dyDescent="0.3">
      <c r="A9" s="21" t="s">
        <v>381</v>
      </c>
      <c r="B9">
        <v>1</v>
      </c>
    </row>
    <row r="10" spans="1:5" x14ac:dyDescent="0.3">
      <c r="A10" s="21" t="s">
        <v>349</v>
      </c>
      <c r="B10">
        <v>22</v>
      </c>
    </row>
    <row r="11" spans="1:5" x14ac:dyDescent="0.3">
      <c r="A11" s="21" t="s">
        <v>384</v>
      </c>
      <c r="B11">
        <v>4</v>
      </c>
    </row>
    <row r="12" spans="1:5" x14ac:dyDescent="0.3">
      <c r="A12" s="20">
        <v>2</v>
      </c>
      <c r="B12">
        <v>51</v>
      </c>
    </row>
    <row r="13" spans="1:5" x14ac:dyDescent="0.3">
      <c r="A13" s="21" t="s">
        <v>101</v>
      </c>
      <c r="B13">
        <v>33</v>
      </c>
    </row>
    <row r="14" spans="1:5" x14ac:dyDescent="0.3">
      <c r="A14" s="21" t="s">
        <v>383</v>
      </c>
      <c r="B14">
        <v>1</v>
      </c>
    </row>
    <row r="15" spans="1:5" x14ac:dyDescent="0.3">
      <c r="A15" s="21" t="s">
        <v>382</v>
      </c>
      <c r="B15">
        <v>2</v>
      </c>
    </row>
    <row r="16" spans="1:5" x14ac:dyDescent="0.3">
      <c r="A16" s="21" t="s">
        <v>261</v>
      </c>
      <c r="B16">
        <v>2</v>
      </c>
    </row>
    <row r="17" spans="1:2" x14ac:dyDescent="0.3">
      <c r="A17" s="21" t="s">
        <v>349</v>
      </c>
      <c r="B17">
        <v>11</v>
      </c>
    </row>
    <row r="18" spans="1:2" x14ac:dyDescent="0.3">
      <c r="A18" s="21" t="s">
        <v>384</v>
      </c>
      <c r="B18">
        <v>2</v>
      </c>
    </row>
    <row r="19" spans="1:2" x14ac:dyDescent="0.3">
      <c r="A19" s="20">
        <v>3</v>
      </c>
      <c r="B19">
        <v>59</v>
      </c>
    </row>
    <row r="20" spans="1:2" x14ac:dyDescent="0.3">
      <c r="A20" s="21" t="s">
        <v>366</v>
      </c>
      <c r="B20">
        <v>1</v>
      </c>
    </row>
    <row r="21" spans="1:2" x14ac:dyDescent="0.3">
      <c r="A21" s="21" t="s">
        <v>389</v>
      </c>
      <c r="B21">
        <v>1</v>
      </c>
    </row>
    <row r="22" spans="1:2" x14ac:dyDescent="0.3">
      <c r="A22" s="21" t="s">
        <v>101</v>
      </c>
      <c r="B22">
        <v>33</v>
      </c>
    </row>
    <row r="23" spans="1:2" x14ac:dyDescent="0.3">
      <c r="A23" s="21" t="s">
        <v>383</v>
      </c>
      <c r="B23">
        <v>1</v>
      </c>
    </row>
    <row r="24" spans="1:2" x14ac:dyDescent="0.3">
      <c r="A24" s="21" t="s">
        <v>382</v>
      </c>
      <c r="B24">
        <v>1</v>
      </c>
    </row>
    <row r="25" spans="1:2" x14ac:dyDescent="0.3">
      <c r="A25" s="21" t="s">
        <v>261</v>
      </c>
      <c r="B25">
        <v>7</v>
      </c>
    </row>
    <row r="26" spans="1:2" x14ac:dyDescent="0.3">
      <c r="A26" s="21" t="s">
        <v>381</v>
      </c>
      <c r="B26">
        <v>2</v>
      </c>
    </row>
    <row r="27" spans="1:2" x14ac:dyDescent="0.3">
      <c r="A27" s="21" t="s">
        <v>349</v>
      </c>
      <c r="B27">
        <v>9</v>
      </c>
    </row>
    <row r="28" spans="1:2" x14ac:dyDescent="0.3">
      <c r="A28" s="21" t="s">
        <v>384</v>
      </c>
      <c r="B28">
        <v>4</v>
      </c>
    </row>
    <row r="29" spans="1:2" x14ac:dyDescent="0.3">
      <c r="A29" s="20">
        <v>4</v>
      </c>
      <c r="B29">
        <v>193</v>
      </c>
    </row>
    <row r="30" spans="1:2" x14ac:dyDescent="0.3">
      <c r="A30" s="21" t="s">
        <v>366</v>
      </c>
      <c r="B30">
        <v>2</v>
      </c>
    </row>
    <row r="31" spans="1:2" x14ac:dyDescent="0.3">
      <c r="A31" s="21" t="s">
        <v>389</v>
      </c>
      <c r="B31">
        <v>8</v>
      </c>
    </row>
    <row r="32" spans="1:2" x14ac:dyDescent="0.3">
      <c r="A32" s="21" t="s">
        <v>101</v>
      </c>
      <c r="B32">
        <v>92</v>
      </c>
    </row>
    <row r="33" spans="1:2" x14ac:dyDescent="0.3">
      <c r="A33" s="21" t="s">
        <v>383</v>
      </c>
      <c r="B33">
        <v>4</v>
      </c>
    </row>
    <row r="34" spans="1:2" x14ac:dyDescent="0.3">
      <c r="A34" s="21" t="s">
        <v>382</v>
      </c>
      <c r="B34">
        <v>5</v>
      </c>
    </row>
    <row r="35" spans="1:2" x14ac:dyDescent="0.3">
      <c r="A35" s="21" t="s">
        <v>261</v>
      </c>
      <c r="B35">
        <v>17</v>
      </c>
    </row>
    <row r="36" spans="1:2" x14ac:dyDescent="0.3">
      <c r="A36" s="21" t="s">
        <v>381</v>
      </c>
      <c r="B36">
        <v>6</v>
      </c>
    </row>
    <row r="37" spans="1:2" x14ac:dyDescent="0.3">
      <c r="A37" s="21" t="s">
        <v>349</v>
      </c>
      <c r="B37">
        <v>54</v>
      </c>
    </row>
    <row r="38" spans="1:2" x14ac:dyDescent="0.3">
      <c r="A38" s="21" t="s">
        <v>384</v>
      </c>
      <c r="B38">
        <v>5</v>
      </c>
    </row>
    <row r="39" spans="1:2" x14ac:dyDescent="0.3">
      <c r="A39" s="20">
        <v>5</v>
      </c>
      <c r="B39">
        <v>107</v>
      </c>
    </row>
    <row r="40" spans="1:2" x14ac:dyDescent="0.3">
      <c r="A40" s="21" t="s">
        <v>366</v>
      </c>
      <c r="B40">
        <v>1</v>
      </c>
    </row>
    <row r="41" spans="1:2" x14ac:dyDescent="0.3">
      <c r="A41" s="21" t="s">
        <v>389</v>
      </c>
      <c r="B41">
        <v>2</v>
      </c>
    </row>
    <row r="42" spans="1:2" x14ac:dyDescent="0.3">
      <c r="A42" s="21" t="s">
        <v>101</v>
      </c>
      <c r="B42">
        <v>69</v>
      </c>
    </row>
    <row r="43" spans="1:2" x14ac:dyDescent="0.3">
      <c r="A43" s="21" t="s">
        <v>383</v>
      </c>
      <c r="B43">
        <v>1</v>
      </c>
    </row>
    <row r="44" spans="1:2" x14ac:dyDescent="0.3">
      <c r="A44" s="21" t="s">
        <v>261</v>
      </c>
      <c r="B44">
        <v>3</v>
      </c>
    </row>
    <row r="45" spans="1:2" x14ac:dyDescent="0.3">
      <c r="A45" s="21" t="s">
        <v>381</v>
      </c>
      <c r="B45">
        <v>1</v>
      </c>
    </row>
    <row r="46" spans="1:2" x14ac:dyDescent="0.3">
      <c r="A46" s="21" t="s">
        <v>349</v>
      </c>
      <c r="B46">
        <v>23</v>
      </c>
    </row>
    <row r="47" spans="1:2" x14ac:dyDescent="0.3">
      <c r="A47" s="21" t="s">
        <v>384</v>
      </c>
      <c r="B47">
        <v>7</v>
      </c>
    </row>
    <row r="48" spans="1:2" x14ac:dyDescent="0.3">
      <c r="A48" s="20" t="s">
        <v>1541</v>
      </c>
      <c r="B48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4E4E-1162-49A5-A2F6-99C7F46D8319}">
  <dimension ref="A1:F11"/>
  <sheetViews>
    <sheetView workbookViewId="0">
      <selection activeCell="D39" sqref="D39"/>
    </sheetView>
  </sheetViews>
  <sheetFormatPr baseColWidth="10" defaultRowHeight="14.4" x14ac:dyDescent="0.3"/>
  <cols>
    <col min="2" max="2" width="36.77734375" bestFit="1" customWidth="1"/>
    <col min="5" max="5" width="48.77734375" bestFit="1" customWidth="1"/>
  </cols>
  <sheetData>
    <row r="1" spans="1:6" x14ac:dyDescent="0.3">
      <c r="A1" s="23" t="s">
        <v>1687</v>
      </c>
      <c r="B1" s="24" t="s">
        <v>1688</v>
      </c>
      <c r="C1" s="23" t="s">
        <v>1546</v>
      </c>
      <c r="E1" s="62" t="s">
        <v>1693</v>
      </c>
      <c r="F1" s="62"/>
    </row>
    <row r="2" spans="1:6" x14ac:dyDescent="0.3">
      <c r="A2" s="25">
        <v>1</v>
      </c>
      <c r="B2" s="26" t="s">
        <v>1689</v>
      </c>
      <c r="C2" s="25">
        <v>1</v>
      </c>
      <c r="E2" s="24" t="s">
        <v>1545</v>
      </c>
      <c r="F2" s="24" t="s">
        <v>1546</v>
      </c>
    </row>
    <row r="3" spans="1:6" x14ac:dyDescent="0.3">
      <c r="A3" s="25">
        <v>2</v>
      </c>
      <c r="B3" s="26" t="s">
        <v>1690</v>
      </c>
      <c r="C3" s="25">
        <v>1</v>
      </c>
      <c r="E3" s="26" t="s">
        <v>1544</v>
      </c>
      <c r="F3" s="26">
        <v>5</v>
      </c>
    </row>
    <row r="4" spans="1:6" x14ac:dyDescent="0.3">
      <c r="A4" s="25">
        <v>2</v>
      </c>
      <c r="B4" s="26" t="s">
        <v>389</v>
      </c>
      <c r="C4" s="25">
        <v>2</v>
      </c>
      <c r="E4" s="26" t="s">
        <v>1547</v>
      </c>
      <c r="F4" s="26">
        <v>10</v>
      </c>
    </row>
    <row r="5" spans="1:6" x14ac:dyDescent="0.3">
      <c r="A5" s="25">
        <v>2</v>
      </c>
      <c r="B5" s="26" t="s">
        <v>1691</v>
      </c>
      <c r="C5" s="25">
        <v>3</v>
      </c>
      <c r="E5" s="26" t="s">
        <v>1548</v>
      </c>
      <c r="F5" s="28">
        <f>165+18</f>
        <v>183</v>
      </c>
    </row>
    <row r="6" spans="1:6" x14ac:dyDescent="0.3">
      <c r="A6" s="25">
        <v>2</v>
      </c>
      <c r="B6" s="26" t="s">
        <v>1503</v>
      </c>
      <c r="C6" s="25">
        <v>1</v>
      </c>
      <c r="E6" s="26" t="s">
        <v>1549</v>
      </c>
      <c r="F6" s="26">
        <v>5</v>
      </c>
    </row>
    <row r="7" spans="1:6" x14ac:dyDescent="0.3">
      <c r="A7" s="25">
        <v>2</v>
      </c>
      <c r="B7" s="26" t="s">
        <v>1692</v>
      </c>
      <c r="C7" s="25">
        <v>1</v>
      </c>
      <c r="E7" s="26" t="s">
        <v>1550</v>
      </c>
      <c r="F7" s="26">
        <v>5</v>
      </c>
    </row>
    <row r="8" spans="1:6" x14ac:dyDescent="0.3">
      <c r="A8" s="25">
        <v>3</v>
      </c>
      <c r="B8" s="26" t="s">
        <v>389</v>
      </c>
      <c r="C8" s="25">
        <v>1</v>
      </c>
      <c r="E8" s="26" t="s">
        <v>1551</v>
      </c>
      <c r="F8" s="28">
        <f>25+10</f>
        <v>35</v>
      </c>
    </row>
    <row r="9" spans="1:6" x14ac:dyDescent="0.3">
      <c r="A9" s="25">
        <v>5</v>
      </c>
      <c r="B9" s="26" t="s">
        <v>1689</v>
      </c>
      <c r="C9" s="25">
        <v>1</v>
      </c>
      <c r="E9" s="26" t="s">
        <v>1552</v>
      </c>
      <c r="F9" s="26">
        <v>5</v>
      </c>
    </row>
    <row r="10" spans="1:6" x14ac:dyDescent="0.3">
      <c r="A10" s="25">
        <v>5</v>
      </c>
      <c r="B10" s="26" t="s">
        <v>261</v>
      </c>
      <c r="C10" s="25">
        <v>2</v>
      </c>
      <c r="E10" s="26" t="s">
        <v>1553</v>
      </c>
      <c r="F10" s="28">
        <f>65+2</f>
        <v>67</v>
      </c>
    </row>
    <row r="11" spans="1:6" x14ac:dyDescent="0.3">
      <c r="E11" s="26" t="s">
        <v>1554</v>
      </c>
      <c r="F11" s="28">
        <f>15+5</f>
        <v>20</v>
      </c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CCFA-6C62-4D0F-908C-4A721E809D63}">
  <sheetPr filterMode="1"/>
  <dimension ref="A1:S618"/>
  <sheetViews>
    <sheetView tabSelected="1" topLeftCell="B1" workbookViewId="0">
      <selection activeCell="E2" sqref="E2"/>
    </sheetView>
  </sheetViews>
  <sheetFormatPr baseColWidth="10" defaultColWidth="31" defaultRowHeight="13.2" x14ac:dyDescent="0.3"/>
  <cols>
    <col min="1" max="1" width="18.44140625" style="31" hidden="1" customWidth="1"/>
    <col min="2" max="2" width="19.6640625" style="33" customWidth="1"/>
    <col min="3" max="3" width="29.109375" style="30" customWidth="1"/>
    <col min="4" max="4" width="18.44140625" style="31" customWidth="1"/>
    <col min="5" max="5" width="30.33203125" style="29" customWidth="1"/>
    <col min="6" max="6" width="31" style="32"/>
    <col min="7" max="7" width="20.88671875" style="29" customWidth="1"/>
    <col min="8" max="8" width="10" style="33" customWidth="1"/>
    <col min="9" max="9" width="17.88671875" style="29" customWidth="1"/>
    <col min="10" max="10" width="16.5546875" style="29" customWidth="1"/>
    <col min="11" max="11" width="19.109375" style="29" customWidth="1"/>
    <col min="12" max="12" width="16.33203125" style="29" customWidth="1"/>
    <col min="13" max="14" width="15.6640625" style="29" customWidth="1"/>
    <col min="15" max="16" width="23.44140625" style="29" customWidth="1"/>
    <col min="17" max="16384" width="31" style="29"/>
  </cols>
  <sheetData>
    <row r="1" spans="1:19" ht="50.4" customHeight="1" x14ac:dyDescent="0.3">
      <c r="A1" s="46" t="s">
        <v>2</v>
      </c>
      <c r="B1" s="35" t="s">
        <v>0</v>
      </c>
      <c r="C1" s="35" t="s">
        <v>1</v>
      </c>
      <c r="D1" s="46" t="s">
        <v>2</v>
      </c>
      <c r="E1" s="35" t="s">
        <v>3</v>
      </c>
      <c r="F1" s="35" t="s">
        <v>4</v>
      </c>
      <c r="G1" s="35" t="s">
        <v>5</v>
      </c>
      <c r="H1" s="35" t="s">
        <v>365</v>
      </c>
      <c r="I1" s="35" t="s">
        <v>627</v>
      </c>
      <c r="J1" s="35" t="s">
        <v>628</v>
      </c>
      <c r="K1" s="35" t="s">
        <v>241</v>
      </c>
      <c r="L1" s="35" t="s">
        <v>260</v>
      </c>
      <c r="M1" s="35" t="s">
        <v>350</v>
      </c>
      <c r="N1" s="35" t="s">
        <v>391</v>
      </c>
      <c r="O1" s="35" t="s">
        <v>392</v>
      </c>
      <c r="P1" s="35" t="s">
        <v>841</v>
      </c>
      <c r="Q1" s="35" t="s">
        <v>1556</v>
      </c>
      <c r="R1" s="35" t="s">
        <v>1557</v>
      </c>
      <c r="S1" s="35" t="s">
        <v>1594</v>
      </c>
    </row>
    <row r="2" spans="1:19" ht="50.4" hidden="1" customHeight="1" x14ac:dyDescent="0.3">
      <c r="A2" s="47"/>
      <c r="B2" s="39">
        <v>46163</v>
      </c>
      <c r="C2" s="53" t="s">
        <v>1766</v>
      </c>
      <c r="D2" s="53">
        <v>479844</v>
      </c>
      <c r="E2" s="53" t="s">
        <v>1764</v>
      </c>
      <c r="F2" s="56" t="s">
        <v>1773</v>
      </c>
      <c r="G2" s="38"/>
      <c r="H2" s="53">
        <v>4</v>
      </c>
      <c r="I2" s="38"/>
      <c r="J2" s="38"/>
      <c r="K2" s="38" t="s">
        <v>1777</v>
      </c>
      <c r="L2" s="38"/>
      <c r="M2" s="39">
        <v>46165</v>
      </c>
      <c r="N2" s="38" t="s">
        <v>1705</v>
      </c>
      <c r="O2" s="38"/>
      <c r="P2" s="38"/>
      <c r="Q2" s="38"/>
      <c r="R2" s="38"/>
      <c r="S2" s="38"/>
    </row>
    <row r="3" spans="1:19" ht="50.4" customHeight="1" x14ac:dyDescent="0.3">
      <c r="A3" s="47">
        <v>2358332</v>
      </c>
      <c r="B3" s="39">
        <v>46062</v>
      </c>
      <c r="C3" s="36" t="s">
        <v>1057</v>
      </c>
      <c r="D3" s="47">
        <v>2358332</v>
      </c>
      <c r="E3" s="38" t="s">
        <v>349</v>
      </c>
      <c r="F3" s="37" t="s">
        <v>1058</v>
      </c>
      <c r="G3" s="38" t="s">
        <v>1059</v>
      </c>
      <c r="H3" s="38">
        <v>1</v>
      </c>
      <c r="I3" s="38" t="s">
        <v>636</v>
      </c>
      <c r="J3" s="38" t="s">
        <v>637</v>
      </c>
      <c r="K3" s="38" t="s">
        <v>1017</v>
      </c>
      <c r="L3" s="38"/>
      <c r="M3" s="39">
        <v>46072</v>
      </c>
      <c r="N3" s="38" t="s">
        <v>842</v>
      </c>
      <c r="O3" s="38" t="s">
        <v>390</v>
      </c>
      <c r="P3" s="38" t="s">
        <v>843</v>
      </c>
      <c r="Q3" s="38" t="s">
        <v>1561</v>
      </c>
      <c r="R3" s="38"/>
      <c r="S3" s="38"/>
    </row>
    <row r="4" spans="1:19" ht="50.4" customHeight="1" x14ac:dyDescent="0.3">
      <c r="A4" s="47">
        <v>3119289</v>
      </c>
      <c r="B4" s="39">
        <v>46032</v>
      </c>
      <c r="C4" s="36" t="s">
        <v>445</v>
      </c>
      <c r="D4" s="47">
        <v>3119289</v>
      </c>
      <c r="E4" s="36" t="s">
        <v>101</v>
      </c>
      <c r="F4" s="37" t="s">
        <v>446</v>
      </c>
      <c r="G4" s="38" t="s">
        <v>447</v>
      </c>
      <c r="H4" s="38">
        <v>2</v>
      </c>
      <c r="I4" s="38" t="s">
        <v>647</v>
      </c>
      <c r="J4" s="38" t="s">
        <v>648</v>
      </c>
      <c r="K4" s="38" t="s">
        <v>448</v>
      </c>
      <c r="L4" s="39"/>
      <c r="M4" s="39">
        <v>46035</v>
      </c>
      <c r="N4" s="38" t="s">
        <v>842</v>
      </c>
      <c r="O4" s="38" t="s">
        <v>390</v>
      </c>
      <c r="P4" s="38" t="s">
        <v>842</v>
      </c>
      <c r="Q4" s="38" t="s">
        <v>1560</v>
      </c>
      <c r="R4" s="38"/>
      <c r="S4" s="38" t="s">
        <v>448</v>
      </c>
    </row>
    <row r="5" spans="1:19" ht="50.4" customHeight="1" x14ac:dyDescent="0.3">
      <c r="A5" s="47">
        <v>3606544</v>
      </c>
      <c r="B5" s="39">
        <v>46038</v>
      </c>
      <c r="C5" s="36" t="s">
        <v>547</v>
      </c>
      <c r="D5" s="47">
        <v>3606544</v>
      </c>
      <c r="E5" s="36" t="s">
        <v>349</v>
      </c>
      <c r="F5" s="37" t="s">
        <v>467</v>
      </c>
      <c r="G5" s="38" t="s">
        <v>468</v>
      </c>
      <c r="H5" s="38">
        <v>5</v>
      </c>
      <c r="I5" s="38" t="s">
        <v>634</v>
      </c>
      <c r="J5" s="38" t="s">
        <v>635</v>
      </c>
      <c r="K5" s="38" t="s">
        <v>469</v>
      </c>
      <c r="L5" s="38"/>
      <c r="M5" s="39">
        <v>46043</v>
      </c>
      <c r="N5" s="38" t="s">
        <v>842</v>
      </c>
      <c r="O5" s="38" t="s">
        <v>390</v>
      </c>
      <c r="P5" s="38" t="s">
        <v>843</v>
      </c>
      <c r="Q5" s="38" t="s">
        <v>1560</v>
      </c>
      <c r="R5" s="38"/>
      <c r="S5" s="38" t="s">
        <v>469</v>
      </c>
    </row>
    <row r="6" spans="1:19" ht="50.4" customHeight="1" x14ac:dyDescent="0.3">
      <c r="A6" s="47">
        <v>3829931</v>
      </c>
      <c r="B6" s="39">
        <v>46133</v>
      </c>
      <c r="C6" s="36" t="s">
        <v>1631</v>
      </c>
      <c r="D6" s="47">
        <v>3829931</v>
      </c>
      <c r="E6" s="38" t="s">
        <v>101</v>
      </c>
      <c r="F6" s="37" t="s">
        <v>1638</v>
      </c>
      <c r="G6" s="38">
        <v>3135410685</v>
      </c>
      <c r="H6" s="38">
        <v>1</v>
      </c>
      <c r="I6" s="38" t="s">
        <v>686</v>
      </c>
      <c r="J6" s="38" t="s">
        <v>1643</v>
      </c>
      <c r="K6" s="38"/>
      <c r="L6" s="38" t="s">
        <v>1636</v>
      </c>
      <c r="M6" s="39"/>
      <c r="N6" s="38" t="s">
        <v>843</v>
      </c>
      <c r="O6" s="38" t="s">
        <v>390</v>
      </c>
      <c r="P6" s="38" t="s">
        <v>843</v>
      </c>
      <c r="Q6" s="38"/>
      <c r="R6" s="38"/>
      <c r="S6" s="38"/>
    </row>
    <row r="7" spans="1:19" ht="50.4" hidden="1" customHeight="1" x14ac:dyDescent="0.3">
      <c r="A7" s="47">
        <v>4438271</v>
      </c>
      <c r="B7" s="50">
        <v>46029</v>
      </c>
      <c r="C7" s="36" t="s">
        <v>52</v>
      </c>
      <c r="D7" s="47">
        <v>4438271</v>
      </c>
      <c r="E7" s="36" t="s">
        <v>261</v>
      </c>
      <c r="F7" s="37" t="s">
        <v>53</v>
      </c>
      <c r="G7" s="36">
        <v>3148759309</v>
      </c>
      <c r="H7" s="36">
        <v>2</v>
      </c>
      <c r="I7" s="38" t="s">
        <v>975</v>
      </c>
      <c r="J7" s="38" t="e">
        <v>#REF!</v>
      </c>
      <c r="K7" s="40"/>
      <c r="L7" s="36" t="s">
        <v>256</v>
      </c>
      <c r="M7" s="39">
        <v>46035</v>
      </c>
      <c r="N7" s="38" t="s">
        <v>843</v>
      </c>
      <c r="O7" s="38" t="s">
        <v>380</v>
      </c>
      <c r="P7" s="38" t="s">
        <v>843</v>
      </c>
      <c r="Q7" s="38" t="s">
        <v>1558</v>
      </c>
      <c r="R7" s="38"/>
      <c r="S7" s="38"/>
    </row>
    <row r="8" spans="1:19" ht="50.4" customHeight="1" x14ac:dyDescent="0.3">
      <c r="A8" s="47">
        <v>4519046</v>
      </c>
      <c r="B8" s="39">
        <v>46084</v>
      </c>
      <c r="C8" s="38" t="s">
        <v>1384</v>
      </c>
      <c r="D8" s="47">
        <v>4519046</v>
      </c>
      <c r="E8" s="38" t="s">
        <v>101</v>
      </c>
      <c r="F8" s="37" t="s">
        <v>1400</v>
      </c>
      <c r="G8" s="38">
        <v>3045699047</v>
      </c>
      <c r="H8" s="38">
        <v>2</v>
      </c>
      <c r="I8" s="38" t="s">
        <v>975</v>
      </c>
      <c r="J8" s="38" t="e">
        <v>#REF!</v>
      </c>
      <c r="K8" s="38" t="s">
        <v>1404</v>
      </c>
      <c r="L8" s="38"/>
      <c r="M8" s="39"/>
      <c r="N8" s="38" t="s">
        <v>842</v>
      </c>
      <c r="O8" s="38" t="s">
        <v>390</v>
      </c>
      <c r="P8" s="38" t="s">
        <v>843</v>
      </c>
      <c r="Q8" s="38"/>
      <c r="R8" s="38"/>
      <c r="S8" s="38"/>
    </row>
    <row r="9" spans="1:19" ht="50.4" customHeight="1" x14ac:dyDescent="0.2">
      <c r="A9" s="47"/>
      <c r="B9" s="39">
        <v>46161</v>
      </c>
      <c r="C9" s="53" t="s">
        <v>1720</v>
      </c>
      <c r="D9" s="53">
        <v>4583948</v>
      </c>
      <c r="E9" s="53" t="s">
        <v>1700</v>
      </c>
      <c r="F9" s="56" t="s">
        <v>1741</v>
      </c>
      <c r="G9" s="53" t="s">
        <v>1753</v>
      </c>
      <c r="H9" s="53">
        <v>2</v>
      </c>
      <c r="I9" s="38"/>
      <c r="J9" s="38"/>
      <c r="K9" s="57" t="s">
        <v>1760</v>
      </c>
      <c r="L9" s="38"/>
      <c r="M9" s="39">
        <v>46163</v>
      </c>
      <c r="N9" s="38" t="s">
        <v>1705</v>
      </c>
      <c r="O9" s="38"/>
      <c r="P9" s="38"/>
      <c r="Q9" s="38"/>
      <c r="R9" s="38"/>
      <c r="S9" s="38"/>
    </row>
    <row r="10" spans="1:19" ht="50.4" customHeight="1" x14ac:dyDescent="0.3">
      <c r="A10" s="47">
        <v>4617197</v>
      </c>
      <c r="B10" s="39">
        <v>46084</v>
      </c>
      <c r="C10" s="38" t="s">
        <v>1381</v>
      </c>
      <c r="D10" s="47">
        <v>4617197</v>
      </c>
      <c r="E10" s="38" t="s">
        <v>101</v>
      </c>
      <c r="F10" s="37" t="s">
        <v>1397</v>
      </c>
      <c r="G10" s="53">
        <v>3108702287</v>
      </c>
      <c r="H10" s="38">
        <v>5</v>
      </c>
      <c r="I10" s="38" t="s">
        <v>634</v>
      </c>
      <c r="J10" s="38" t="e">
        <v>#REF!</v>
      </c>
      <c r="K10" s="38" t="s">
        <v>1404</v>
      </c>
      <c r="L10" s="38"/>
      <c r="M10" s="39"/>
      <c r="N10" s="38" t="s">
        <v>842</v>
      </c>
      <c r="O10" s="38" t="s">
        <v>390</v>
      </c>
      <c r="P10" s="38" t="s">
        <v>843</v>
      </c>
      <c r="Q10" s="38"/>
      <c r="R10" s="38"/>
      <c r="S10" s="38"/>
    </row>
    <row r="11" spans="1:19" ht="50.4" customHeight="1" x14ac:dyDescent="0.3">
      <c r="A11" s="47">
        <v>5205527</v>
      </c>
      <c r="B11" s="39">
        <v>46041</v>
      </c>
      <c r="C11" s="36" t="s">
        <v>563</v>
      </c>
      <c r="D11" s="47">
        <v>5205527</v>
      </c>
      <c r="E11" s="36" t="s">
        <v>101</v>
      </c>
      <c r="F11" s="37" t="s">
        <v>414</v>
      </c>
      <c r="G11" s="38" t="s">
        <v>415</v>
      </c>
      <c r="H11" s="38">
        <v>5</v>
      </c>
      <c r="I11" s="38" t="s">
        <v>645</v>
      </c>
      <c r="J11" s="38" t="s">
        <v>649</v>
      </c>
      <c r="K11" s="38" t="s">
        <v>407</v>
      </c>
      <c r="L11" s="38"/>
      <c r="M11" s="39">
        <v>46049</v>
      </c>
      <c r="N11" s="38" t="s">
        <v>842</v>
      </c>
      <c r="O11" s="38" t="s">
        <v>390</v>
      </c>
      <c r="P11" s="38" t="s">
        <v>842</v>
      </c>
      <c r="Q11" s="38" t="s">
        <v>1559</v>
      </c>
      <c r="R11" s="38"/>
      <c r="S11" s="38" t="s">
        <v>407</v>
      </c>
    </row>
    <row r="12" spans="1:19" ht="50.4" customHeight="1" x14ac:dyDescent="0.3">
      <c r="A12" s="47">
        <v>5470135</v>
      </c>
      <c r="B12" s="39">
        <v>46066</v>
      </c>
      <c r="C12" s="36" t="s">
        <v>1164</v>
      </c>
      <c r="D12" s="47">
        <v>5470135</v>
      </c>
      <c r="E12" s="38" t="s">
        <v>349</v>
      </c>
      <c r="F12" s="37" t="s">
        <v>1165</v>
      </c>
      <c r="G12" s="38">
        <v>3153904870</v>
      </c>
      <c r="H12" s="38">
        <v>3</v>
      </c>
      <c r="I12" s="38" t="s">
        <v>676</v>
      </c>
      <c r="J12" s="38" t="e">
        <v>#REF!</v>
      </c>
      <c r="K12" s="38" t="s">
        <v>1152</v>
      </c>
      <c r="L12" s="38"/>
      <c r="M12" s="39">
        <v>46076</v>
      </c>
      <c r="N12" s="38" t="s">
        <v>842</v>
      </c>
      <c r="O12" s="38" t="s">
        <v>390</v>
      </c>
      <c r="P12" s="38" t="s">
        <v>1555</v>
      </c>
      <c r="Q12" s="38" t="s">
        <v>1561</v>
      </c>
      <c r="R12" s="38"/>
      <c r="S12" s="38"/>
    </row>
    <row r="13" spans="1:19" ht="50.4" customHeight="1" x14ac:dyDescent="0.3">
      <c r="A13" s="47">
        <v>6386946</v>
      </c>
      <c r="B13" s="39">
        <v>46041</v>
      </c>
      <c r="C13" s="36" t="s">
        <v>506</v>
      </c>
      <c r="D13" s="47">
        <v>6386946</v>
      </c>
      <c r="E13" s="36" t="s">
        <v>101</v>
      </c>
      <c r="F13" s="37" t="s">
        <v>507</v>
      </c>
      <c r="G13" s="38" t="s">
        <v>508</v>
      </c>
      <c r="H13" s="38">
        <v>5</v>
      </c>
      <c r="I13" s="38" t="s">
        <v>652</v>
      </c>
      <c r="J13" s="38" t="s">
        <v>651</v>
      </c>
      <c r="K13" s="38" t="s">
        <v>509</v>
      </c>
      <c r="L13" s="39"/>
      <c r="M13" s="39">
        <v>46049</v>
      </c>
      <c r="N13" s="38" t="s">
        <v>842</v>
      </c>
      <c r="O13" s="38" t="s">
        <v>390</v>
      </c>
      <c r="P13" s="38" t="s">
        <v>842</v>
      </c>
      <c r="Q13" s="38" t="s">
        <v>1559</v>
      </c>
      <c r="R13" s="38"/>
      <c r="S13" s="38" t="s">
        <v>509</v>
      </c>
    </row>
    <row r="14" spans="1:19" ht="50.4" customHeight="1" x14ac:dyDescent="0.3">
      <c r="A14" s="47">
        <v>6497712</v>
      </c>
      <c r="B14" s="39">
        <v>46097</v>
      </c>
      <c r="C14" s="38" t="s">
        <v>1419</v>
      </c>
      <c r="D14" s="47">
        <v>6497712</v>
      </c>
      <c r="E14" s="38" t="s">
        <v>101</v>
      </c>
      <c r="F14" s="37" t="s">
        <v>1451</v>
      </c>
      <c r="G14" s="38">
        <v>3125921087</v>
      </c>
      <c r="H14" s="38">
        <v>1</v>
      </c>
      <c r="I14" s="38" t="s">
        <v>641</v>
      </c>
      <c r="J14" s="38" t="e">
        <v>#REF!</v>
      </c>
      <c r="K14" s="38" t="s">
        <v>1418</v>
      </c>
      <c r="L14" s="38"/>
      <c r="M14" s="39"/>
      <c r="N14" s="38" t="s">
        <v>842</v>
      </c>
      <c r="O14" s="38" t="s">
        <v>390</v>
      </c>
      <c r="P14" s="38" t="s">
        <v>843</v>
      </c>
      <c r="Q14" s="38"/>
      <c r="R14" s="38"/>
      <c r="S14" s="38"/>
    </row>
    <row r="15" spans="1:19" ht="50.4" hidden="1" customHeight="1" x14ac:dyDescent="0.2">
      <c r="A15" s="47"/>
      <c r="B15" s="39">
        <v>46163</v>
      </c>
      <c r="C15" s="58" t="s">
        <v>1769</v>
      </c>
      <c r="D15" s="58">
        <v>6761893</v>
      </c>
      <c r="E15" s="58" t="s">
        <v>1727</v>
      </c>
      <c r="F15" s="59" t="s">
        <v>1776</v>
      </c>
      <c r="G15" s="38"/>
      <c r="H15" s="60">
        <v>3</v>
      </c>
      <c r="I15" s="38"/>
      <c r="J15" s="38"/>
      <c r="K15" s="38"/>
      <c r="L15" s="57" t="s">
        <v>1778</v>
      </c>
      <c r="M15" s="39">
        <v>46165</v>
      </c>
      <c r="N15" s="38" t="s">
        <v>1555</v>
      </c>
      <c r="O15" s="38"/>
      <c r="P15" s="38"/>
      <c r="Q15" s="38"/>
      <c r="R15" s="38"/>
      <c r="S15" s="38"/>
    </row>
    <row r="16" spans="1:19" ht="50.4" customHeight="1" x14ac:dyDescent="0.3">
      <c r="A16" s="47">
        <v>6776982</v>
      </c>
      <c r="B16" s="39">
        <v>46045</v>
      </c>
      <c r="C16" s="36" t="s">
        <v>614</v>
      </c>
      <c r="D16" s="47">
        <v>6776982</v>
      </c>
      <c r="E16" s="36" t="s">
        <v>101</v>
      </c>
      <c r="F16" s="37" t="s">
        <v>588</v>
      </c>
      <c r="G16" s="38">
        <v>3165282333</v>
      </c>
      <c r="H16" s="38">
        <v>3</v>
      </c>
      <c r="I16" s="38" t="s">
        <v>653</v>
      </c>
      <c r="J16" s="38" t="s">
        <v>654</v>
      </c>
      <c r="K16" s="38" t="s">
        <v>589</v>
      </c>
      <c r="L16" s="38"/>
      <c r="M16" s="39">
        <v>46049</v>
      </c>
      <c r="N16" s="38" t="s">
        <v>842</v>
      </c>
      <c r="O16" s="38" t="s">
        <v>390</v>
      </c>
      <c r="P16" s="38" t="s">
        <v>842</v>
      </c>
      <c r="Q16" s="38" t="s">
        <v>1559</v>
      </c>
      <c r="R16" s="38"/>
      <c r="S16" s="38" t="s">
        <v>589</v>
      </c>
    </row>
    <row r="17" spans="1:19" ht="50.4" customHeight="1" x14ac:dyDescent="0.3">
      <c r="A17" s="47">
        <v>6804699</v>
      </c>
      <c r="B17" s="39">
        <v>46056</v>
      </c>
      <c r="C17" s="36" t="s">
        <v>873</v>
      </c>
      <c r="D17" s="47">
        <v>6804699</v>
      </c>
      <c r="E17" s="38" t="s">
        <v>101</v>
      </c>
      <c r="F17" s="37" t="s">
        <v>892</v>
      </c>
      <c r="G17" s="38">
        <v>3156045259</v>
      </c>
      <c r="H17" s="38">
        <v>4</v>
      </c>
      <c r="I17" s="38" t="s">
        <v>970</v>
      </c>
      <c r="J17" s="38" t="s">
        <v>700</v>
      </c>
      <c r="K17" s="38" t="s">
        <v>870</v>
      </c>
      <c r="L17" s="38"/>
      <c r="M17" s="39">
        <v>46062</v>
      </c>
      <c r="N17" s="38" t="s">
        <v>842</v>
      </c>
      <c r="O17" s="38" t="s">
        <v>390</v>
      </c>
      <c r="P17" s="38" t="s">
        <v>842</v>
      </c>
      <c r="Q17" s="38" t="s">
        <v>1559</v>
      </c>
      <c r="R17" s="38"/>
      <c r="S17" s="38"/>
    </row>
    <row r="18" spans="1:19" ht="50.4" customHeight="1" x14ac:dyDescent="0.3">
      <c r="A18" s="47">
        <v>6870817</v>
      </c>
      <c r="B18" s="39">
        <v>46032</v>
      </c>
      <c r="C18" s="36" t="s">
        <v>281</v>
      </c>
      <c r="D18" s="47">
        <v>6870817</v>
      </c>
      <c r="E18" s="36" t="s">
        <v>101</v>
      </c>
      <c r="F18" s="37" t="s">
        <v>282</v>
      </c>
      <c r="G18" s="38" t="s">
        <v>283</v>
      </c>
      <c r="H18" s="38">
        <v>1</v>
      </c>
      <c r="I18" s="38" t="s">
        <v>638</v>
      </c>
      <c r="J18" s="38" t="s">
        <v>639</v>
      </c>
      <c r="K18" s="38" t="s">
        <v>452</v>
      </c>
      <c r="L18" s="38"/>
      <c r="M18" s="39">
        <v>46049</v>
      </c>
      <c r="N18" s="38" t="s">
        <v>842</v>
      </c>
      <c r="O18" s="38" t="s">
        <v>390</v>
      </c>
      <c r="P18" s="38" t="s">
        <v>842</v>
      </c>
      <c r="Q18" s="38" t="s">
        <v>1559</v>
      </c>
      <c r="R18" s="38" t="s">
        <v>1565</v>
      </c>
      <c r="S18" s="38" t="s">
        <v>276</v>
      </c>
    </row>
    <row r="19" spans="1:19" ht="50.4" customHeight="1" x14ac:dyDescent="0.2">
      <c r="A19" s="47">
        <v>7095172</v>
      </c>
      <c r="B19" s="48">
        <v>46045</v>
      </c>
      <c r="C19" s="36" t="s">
        <v>726</v>
      </c>
      <c r="D19" s="47">
        <v>7095172</v>
      </c>
      <c r="E19" s="36" t="s">
        <v>101</v>
      </c>
      <c r="F19" s="37" t="s">
        <v>727</v>
      </c>
      <c r="G19" s="36">
        <v>3104401589</v>
      </c>
      <c r="H19" s="52">
        <v>2</v>
      </c>
      <c r="I19" s="38" t="s">
        <v>631</v>
      </c>
      <c r="J19" s="38" t="s">
        <v>631</v>
      </c>
      <c r="K19" s="52" t="s">
        <v>833</v>
      </c>
      <c r="L19" s="52"/>
      <c r="M19" s="39">
        <v>46062</v>
      </c>
      <c r="N19" s="38" t="s">
        <v>842</v>
      </c>
      <c r="O19" s="38" t="s">
        <v>390</v>
      </c>
      <c r="P19" s="38" t="s">
        <v>842</v>
      </c>
      <c r="Q19" s="38" t="s">
        <v>1559</v>
      </c>
      <c r="R19" s="38"/>
      <c r="S19" s="38" t="s">
        <v>833</v>
      </c>
    </row>
    <row r="20" spans="1:19" ht="50.4" customHeight="1" x14ac:dyDescent="0.3">
      <c r="A20" s="47">
        <v>7253321</v>
      </c>
      <c r="B20" s="39">
        <v>46041</v>
      </c>
      <c r="C20" s="36" t="s">
        <v>510</v>
      </c>
      <c r="D20" s="47">
        <v>7253321</v>
      </c>
      <c r="E20" s="36" t="s">
        <v>101</v>
      </c>
      <c r="F20" s="37" t="s">
        <v>511</v>
      </c>
      <c r="G20" s="38" t="s">
        <v>512</v>
      </c>
      <c r="H20" s="38">
        <v>3</v>
      </c>
      <c r="I20" s="38" t="s">
        <v>653</v>
      </c>
      <c r="J20" s="38" t="s">
        <v>655</v>
      </c>
      <c r="K20" s="38" t="s">
        <v>509</v>
      </c>
      <c r="L20" s="38"/>
      <c r="M20" s="39">
        <v>46049</v>
      </c>
      <c r="N20" s="38" t="s">
        <v>842</v>
      </c>
      <c r="O20" s="38" t="s">
        <v>390</v>
      </c>
      <c r="P20" s="38" t="s">
        <v>842</v>
      </c>
      <c r="Q20" s="38" t="s">
        <v>1559</v>
      </c>
      <c r="R20" s="38"/>
      <c r="S20" s="38" t="s">
        <v>509</v>
      </c>
    </row>
    <row r="21" spans="1:19" ht="50.4" customHeight="1" x14ac:dyDescent="0.2">
      <c r="A21" s="47">
        <v>7303243</v>
      </c>
      <c r="B21" s="39">
        <v>46050</v>
      </c>
      <c r="C21" s="36" t="s">
        <v>853</v>
      </c>
      <c r="D21" s="47">
        <v>7303243</v>
      </c>
      <c r="E21" s="38" t="s">
        <v>101</v>
      </c>
      <c r="F21" s="37" t="s">
        <v>862</v>
      </c>
      <c r="G21" s="44">
        <v>3118514375</v>
      </c>
      <c r="H21" s="38">
        <v>4</v>
      </c>
      <c r="I21" s="38" t="s">
        <v>631</v>
      </c>
      <c r="J21" s="38" t="s">
        <v>631</v>
      </c>
      <c r="K21" s="38" t="s">
        <v>854</v>
      </c>
      <c r="L21" s="38"/>
      <c r="M21" s="39">
        <v>46062</v>
      </c>
      <c r="N21" s="38" t="s">
        <v>842</v>
      </c>
      <c r="O21" s="38" t="s">
        <v>390</v>
      </c>
      <c r="P21" s="38" t="s">
        <v>843</v>
      </c>
      <c r="Q21" s="38" t="s">
        <v>1561</v>
      </c>
      <c r="R21" s="38"/>
      <c r="S21" s="38"/>
    </row>
    <row r="22" spans="1:19" ht="50.4" hidden="1" customHeight="1" x14ac:dyDescent="0.3">
      <c r="A22" s="47"/>
      <c r="B22" s="39">
        <v>46163</v>
      </c>
      <c r="C22" s="53" t="s">
        <v>1763</v>
      </c>
      <c r="D22" s="53">
        <v>7572573</v>
      </c>
      <c r="E22" s="53" t="s">
        <v>1764</v>
      </c>
      <c r="F22" s="56" t="s">
        <v>1771</v>
      </c>
      <c r="G22" s="38"/>
      <c r="H22" s="53">
        <v>1</v>
      </c>
      <c r="I22" s="38"/>
      <c r="J22" s="38"/>
      <c r="K22" s="38" t="s">
        <v>1777</v>
      </c>
      <c r="L22" s="38"/>
      <c r="M22" s="39">
        <v>46165</v>
      </c>
      <c r="N22" s="38" t="s">
        <v>1705</v>
      </c>
      <c r="O22" s="38"/>
      <c r="P22" s="38"/>
      <c r="Q22" s="38"/>
      <c r="R22" s="38"/>
      <c r="S22" s="38"/>
    </row>
    <row r="23" spans="1:19" ht="50.4" customHeight="1" x14ac:dyDescent="0.3">
      <c r="A23" s="47">
        <v>7684683</v>
      </c>
      <c r="B23" s="39">
        <v>46073</v>
      </c>
      <c r="C23" s="36" t="s">
        <v>1273</v>
      </c>
      <c r="D23" s="47">
        <v>7684683</v>
      </c>
      <c r="E23" s="38" t="s">
        <v>101</v>
      </c>
      <c r="F23" s="37" t="s">
        <v>1274</v>
      </c>
      <c r="G23" s="38">
        <v>3132251215</v>
      </c>
      <c r="H23" s="38">
        <v>4</v>
      </c>
      <c r="I23" s="38" t="s">
        <v>661</v>
      </c>
      <c r="J23" s="38" t="s">
        <v>662</v>
      </c>
      <c r="K23" s="38" t="s">
        <v>1228</v>
      </c>
      <c r="L23" s="38"/>
      <c r="M23" s="39">
        <v>46076</v>
      </c>
      <c r="N23" s="38" t="s">
        <v>842</v>
      </c>
      <c r="O23" s="38" t="s">
        <v>390</v>
      </c>
      <c r="P23" s="38" t="s">
        <v>1555</v>
      </c>
      <c r="Q23" s="38" t="s">
        <v>1561</v>
      </c>
      <c r="R23" s="38"/>
      <c r="S23" s="38"/>
    </row>
    <row r="24" spans="1:19" ht="50.4" customHeight="1" x14ac:dyDescent="0.3">
      <c r="A24" s="47">
        <v>7688678</v>
      </c>
      <c r="B24" s="39">
        <v>46073</v>
      </c>
      <c r="C24" s="36" t="s">
        <v>1255</v>
      </c>
      <c r="D24" s="47">
        <v>7688678</v>
      </c>
      <c r="E24" s="38" t="s">
        <v>101</v>
      </c>
      <c r="F24" s="37" t="s">
        <v>1256</v>
      </c>
      <c r="G24" s="38" t="s">
        <v>1257</v>
      </c>
      <c r="H24" s="38">
        <v>4</v>
      </c>
      <c r="I24" s="38" t="s">
        <v>661</v>
      </c>
      <c r="J24" s="38" t="s">
        <v>662</v>
      </c>
      <c r="K24" s="38" t="s">
        <v>1228</v>
      </c>
      <c r="L24" s="38"/>
      <c r="M24" s="39">
        <v>46076</v>
      </c>
      <c r="N24" s="38" t="s">
        <v>842</v>
      </c>
      <c r="O24" s="38" t="s">
        <v>390</v>
      </c>
      <c r="P24" s="38" t="s">
        <v>1555</v>
      </c>
      <c r="Q24" s="38" t="s">
        <v>1561</v>
      </c>
      <c r="R24" s="38"/>
      <c r="S24" s="38"/>
    </row>
    <row r="25" spans="1:19" ht="50.4" customHeight="1" x14ac:dyDescent="0.3">
      <c r="A25" s="47">
        <v>7694230</v>
      </c>
      <c r="B25" s="39">
        <v>46073</v>
      </c>
      <c r="C25" s="36" t="s">
        <v>1284</v>
      </c>
      <c r="D25" s="47">
        <v>7694230</v>
      </c>
      <c r="E25" s="38" t="s">
        <v>101</v>
      </c>
      <c r="F25" s="37" t="s">
        <v>1285</v>
      </c>
      <c r="G25" s="38">
        <v>3158762056</v>
      </c>
      <c r="H25" s="38">
        <v>4</v>
      </c>
      <c r="I25" s="38" t="s">
        <v>661</v>
      </c>
      <c r="J25" s="38" t="s">
        <v>1296</v>
      </c>
      <c r="K25" s="38" t="s">
        <v>1228</v>
      </c>
      <c r="L25" s="38"/>
      <c r="M25" s="39">
        <v>46076</v>
      </c>
      <c r="N25" s="38" t="s">
        <v>842</v>
      </c>
      <c r="O25" s="38" t="s">
        <v>390</v>
      </c>
      <c r="P25" s="38" t="s">
        <v>842</v>
      </c>
      <c r="Q25" s="38" t="s">
        <v>1560</v>
      </c>
      <c r="R25" s="38" t="s">
        <v>1591</v>
      </c>
      <c r="S25" s="38"/>
    </row>
    <row r="26" spans="1:19" ht="50.4" customHeight="1" x14ac:dyDescent="0.3">
      <c r="A26" s="47">
        <v>7700268</v>
      </c>
      <c r="B26" s="39">
        <v>46084</v>
      </c>
      <c r="C26" s="38" t="s">
        <v>1374</v>
      </c>
      <c r="D26" s="47">
        <v>7700268</v>
      </c>
      <c r="E26" s="38" t="s">
        <v>101</v>
      </c>
      <c r="F26" s="37" t="s">
        <v>1387</v>
      </c>
      <c r="G26" s="38" t="s">
        <v>1388</v>
      </c>
      <c r="H26" s="38">
        <v>4</v>
      </c>
      <c r="I26" s="38" t="s">
        <v>661</v>
      </c>
      <c r="J26" s="38" t="e">
        <v>#REF!</v>
      </c>
      <c r="K26" s="38" t="s">
        <v>1404</v>
      </c>
      <c r="L26" s="38"/>
      <c r="M26" s="39"/>
      <c r="N26" s="38" t="s">
        <v>842</v>
      </c>
      <c r="O26" s="38" t="s">
        <v>390</v>
      </c>
      <c r="P26" s="38" t="s">
        <v>843</v>
      </c>
      <c r="Q26" s="38"/>
      <c r="R26" s="38"/>
      <c r="S26" s="38"/>
    </row>
    <row r="27" spans="1:19" ht="50.4" hidden="1" customHeight="1" x14ac:dyDescent="0.2">
      <c r="A27" s="47"/>
      <c r="B27" s="39">
        <v>46161</v>
      </c>
      <c r="C27" s="53" t="s">
        <v>1726</v>
      </c>
      <c r="D27" s="53">
        <v>7702118</v>
      </c>
      <c r="E27" s="53" t="s">
        <v>1727</v>
      </c>
      <c r="F27" s="56" t="s">
        <v>1746</v>
      </c>
      <c r="G27" s="53" t="s">
        <v>1755</v>
      </c>
      <c r="H27" s="53">
        <v>4</v>
      </c>
      <c r="I27" s="38"/>
      <c r="J27" s="38"/>
      <c r="K27" s="57" t="s">
        <v>1760</v>
      </c>
      <c r="L27" s="38"/>
      <c r="M27" s="39">
        <v>46163</v>
      </c>
      <c r="N27" s="38" t="s">
        <v>1705</v>
      </c>
      <c r="O27" s="38"/>
      <c r="P27" s="38"/>
      <c r="Q27" s="38"/>
      <c r="R27" s="38"/>
      <c r="S27" s="38"/>
    </row>
    <row r="28" spans="1:19" ht="50.4" customHeight="1" x14ac:dyDescent="0.3">
      <c r="A28" s="47">
        <v>7733300</v>
      </c>
      <c r="B28" s="39">
        <v>46045</v>
      </c>
      <c r="C28" s="36" t="s">
        <v>615</v>
      </c>
      <c r="D28" s="47">
        <v>7733300</v>
      </c>
      <c r="E28" s="36" t="s">
        <v>101</v>
      </c>
      <c r="F28" s="37" t="s">
        <v>590</v>
      </c>
      <c r="G28" s="38">
        <v>3127303159</v>
      </c>
      <c r="H28" s="38">
        <v>5</v>
      </c>
      <c r="I28" s="38" t="s">
        <v>634</v>
      </c>
      <c r="J28" s="38" t="s">
        <v>656</v>
      </c>
      <c r="K28" s="38" t="s">
        <v>589</v>
      </c>
      <c r="L28" s="38"/>
      <c r="M28" s="39">
        <v>46049</v>
      </c>
      <c r="N28" s="38" t="s">
        <v>842</v>
      </c>
      <c r="O28" s="38" t="s">
        <v>390</v>
      </c>
      <c r="P28" s="38" t="s">
        <v>842</v>
      </c>
      <c r="Q28" s="38" t="s">
        <v>1559</v>
      </c>
      <c r="R28" s="38"/>
      <c r="S28" s="38" t="s">
        <v>589</v>
      </c>
    </row>
    <row r="29" spans="1:19" ht="50.4" customHeight="1" x14ac:dyDescent="0.3">
      <c r="A29" s="47">
        <v>8324104</v>
      </c>
      <c r="B29" s="51">
        <v>46032</v>
      </c>
      <c r="C29" s="36" t="s">
        <v>267</v>
      </c>
      <c r="D29" s="47">
        <v>8324104</v>
      </c>
      <c r="E29" s="36" t="s">
        <v>101</v>
      </c>
      <c r="F29" s="37" t="s">
        <v>268</v>
      </c>
      <c r="G29" s="38">
        <v>3114399647</v>
      </c>
      <c r="H29" s="38">
        <v>5</v>
      </c>
      <c r="I29" s="38" t="s">
        <v>657</v>
      </c>
      <c r="J29" s="38" t="s">
        <v>979</v>
      </c>
      <c r="K29" s="38" t="s">
        <v>266</v>
      </c>
      <c r="L29" s="38"/>
      <c r="M29" s="39">
        <v>46039</v>
      </c>
      <c r="N29" s="38" t="s">
        <v>842</v>
      </c>
      <c r="O29" s="38" t="s">
        <v>390</v>
      </c>
      <c r="P29" s="38" t="s">
        <v>842</v>
      </c>
      <c r="Q29" s="38" t="s">
        <v>1559</v>
      </c>
      <c r="R29" s="38"/>
      <c r="S29" s="38" t="s">
        <v>266</v>
      </c>
    </row>
    <row r="30" spans="1:19" ht="50.4" customHeight="1" x14ac:dyDescent="0.3">
      <c r="A30" s="47">
        <v>8641177</v>
      </c>
      <c r="B30" s="51">
        <v>46032</v>
      </c>
      <c r="C30" s="36" t="s">
        <v>292</v>
      </c>
      <c r="D30" s="47">
        <v>8641177</v>
      </c>
      <c r="E30" s="36" t="s">
        <v>101</v>
      </c>
      <c r="F30" s="37" t="s">
        <v>293</v>
      </c>
      <c r="G30" s="38">
        <v>3004428375</v>
      </c>
      <c r="H30" s="38">
        <v>1</v>
      </c>
      <c r="I30" s="38" t="s">
        <v>636</v>
      </c>
      <c r="J30" s="38" t="s">
        <v>658</v>
      </c>
      <c r="K30" s="38" t="s">
        <v>266</v>
      </c>
      <c r="L30" s="38"/>
      <c r="M30" s="39">
        <v>46039</v>
      </c>
      <c r="N30" s="38" t="s">
        <v>842</v>
      </c>
      <c r="O30" s="38" t="s">
        <v>390</v>
      </c>
      <c r="P30" s="38" t="s">
        <v>843</v>
      </c>
      <c r="Q30" s="38" t="s">
        <v>1560</v>
      </c>
      <c r="R30" s="38"/>
      <c r="S30" s="38" t="s">
        <v>266</v>
      </c>
    </row>
    <row r="31" spans="1:19" ht="50.4" customHeight="1" x14ac:dyDescent="0.3">
      <c r="A31" s="47">
        <v>8645647</v>
      </c>
      <c r="B31" s="48">
        <v>46017</v>
      </c>
      <c r="C31" s="36" t="s">
        <v>211</v>
      </c>
      <c r="D31" s="47">
        <v>8645647</v>
      </c>
      <c r="E31" s="36" t="s">
        <v>101</v>
      </c>
      <c r="F31" s="37" t="s">
        <v>212</v>
      </c>
      <c r="G31" s="36" t="s">
        <v>213</v>
      </c>
      <c r="H31" s="36">
        <v>1</v>
      </c>
      <c r="I31" s="38" t="s">
        <v>636</v>
      </c>
      <c r="J31" s="38" t="s">
        <v>658</v>
      </c>
      <c r="K31" s="36" t="s">
        <v>242</v>
      </c>
      <c r="L31" s="36"/>
      <c r="M31" s="39">
        <v>46035</v>
      </c>
      <c r="N31" s="38" t="s">
        <v>842</v>
      </c>
      <c r="O31" s="38" t="s">
        <v>390</v>
      </c>
      <c r="P31" s="38" t="s">
        <v>842</v>
      </c>
      <c r="Q31" s="38" t="s">
        <v>1559</v>
      </c>
      <c r="R31" s="38"/>
      <c r="S31" s="38" t="s">
        <v>242</v>
      </c>
    </row>
    <row r="32" spans="1:19" ht="50.4" customHeight="1" x14ac:dyDescent="0.3">
      <c r="A32" s="47">
        <v>8757556</v>
      </c>
      <c r="B32" s="39">
        <v>46038</v>
      </c>
      <c r="C32" s="36" t="s">
        <v>549</v>
      </c>
      <c r="D32" s="47">
        <v>8757556</v>
      </c>
      <c r="E32" s="36" t="s">
        <v>349</v>
      </c>
      <c r="F32" s="37" t="s">
        <v>470</v>
      </c>
      <c r="G32" s="38">
        <v>3205660310</v>
      </c>
      <c r="H32" s="38">
        <v>4</v>
      </c>
      <c r="I32" s="38" t="s">
        <v>631</v>
      </c>
      <c r="J32" s="38" t="s">
        <v>631</v>
      </c>
      <c r="K32" s="42"/>
      <c r="L32" s="38" t="s">
        <v>471</v>
      </c>
      <c r="M32" s="39">
        <v>46043</v>
      </c>
      <c r="N32" s="38" t="s">
        <v>843</v>
      </c>
      <c r="O32" s="38" t="s">
        <v>390</v>
      </c>
      <c r="P32" s="38" t="s">
        <v>843</v>
      </c>
      <c r="Q32" s="38" t="s">
        <v>1558</v>
      </c>
      <c r="R32" s="38"/>
      <c r="S32" s="38"/>
    </row>
    <row r="33" spans="1:19" ht="50.4" customHeight="1" x14ac:dyDescent="0.3">
      <c r="A33" s="47">
        <v>9021076</v>
      </c>
      <c r="B33" s="39">
        <v>46097</v>
      </c>
      <c r="C33" s="38" t="s">
        <v>1431</v>
      </c>
      <c r="D33" s="47">
        <v>9021076</v>
      </c>
      <c r="E33" s="38" t="s">
        <v>101</v>
      </c>
      <c r="F33" s="37" t="s">
        <v>1466</v>
      </c>
      <c r="G33" s="38">
        <v>3148671578</v>
      </c>
      <c r="H33" s="38">
        <v>1</v>
      </c>
      <c r="I33" s="38" t="s">
        <v>686</v>
      </c>
      <c r="J33" s="38" t="e">
        <v>#REF!</v>
      </c>
      <c r="K33" s="38" t="s">
        <v>1418</v>
      </c>
      <c r="L33" s="38"/>
      <c r="M33" s="39"/>
      <c r="N33" s="38" t="s">
        <v>842</v>
      </c>
      <c r="O33" s="38" t="s">
        <v>390</v>
      </c>
      <c r="P33" s="38" t="s">
        <v>843</v>
      </c>
      <c r="Q33" s="38"/>
      <c r="R33" s="38"/>
      <c r="S33" s="38"/>
    </row>
    <row r="34" spans="1:19" ht="50.4" customHeight="1" x14ac:dyDescent="0.3">
      <c r="A34" s="47">
        <v>9729732</v>
      </c>
      <c r="B34" s="39">
        <v>46045</v>
      </c>
      <c r="C34" s="36" t="s">
        <v>591</v>
      </c>
      <c r="D34" s="47">
        <v>9729732</v>
      </c>
      <c r="E34" s="36" t="s">
        <v>349</v>
      </c>
      <c r="F34" s="37" t="s">
        <v>592</v>
      </c>
      <c r="G34" s="38">
        <v>3154125376</v>
      </c>
      <c r="H34" s="38">
        <v>2</v>
      </c>
      <c r="I34" s="38" t="s">
        <v>665</v>
      </c>
      <c r="J34" s="38" t="s">
        <v>666</v>
      </c>
      <c r="K34" s="38" t="s">
        <v>589</v>
      </c>
      <c r="L34" s="38"/>
      <c r="M34" s="39">
        <v>46049</v>
      </c>
      <c r="N34" s="38" t="s">
        <v>842</v>
      </c>
      <c r="O34" s="38" t="s">
        <v>390</v>
      </c>
      <c r="P34" s="38" t="s">
        <v>843</v>
      </c>
      <c r="Q34" s="38" t="s">
        <v>1560</v>
      </c>
      <c r="R34" s="38"/>
      <c r="S34" s="38" t="s">
        <v>589</v>
      </c>
    </row>
    <row r="35" spans="1:19" ht="50.4" customHeight="1" x14ac:dyDescent="0.3">
      <c r="A35" s="47">
        <v>10285901</v>
      </c>
      <c r="B35" s="51">
        <v>46032</v>
      </c>
      <c r="C35" s="36" t="s">
        <v>311</v>
      </c>
      <c r="D35" s="47">
        <v>10285901</v>
      </c>
      <c r="E35" s="36" t="s">
        <v>101</v>
      </c>
      <c r="F35" s="37" t="s">
        <v>312</v>
      </c>
      <c r="G35" s="38">
        <v>3108544203</v>
      </c>
      <c r="H35" s="38">
        <v>2</v>
      </c>
      <c r="I35" s="38" t="s">
        <v>659</v>
      </c>
      <c r="J35" s="38" t="s">
        <v>660</v>
      </c>
      <c r="K35" s="36" t="s">
        <v>266</v>
      </c>
      <c r="L35" s="38"/>
      <c r="M35" s="39">
        <v>46039</v>
      </c>
      <c r="N35" s="38" t="s">
        <v>842</v>
      </c>
      <c r="O35" s="38" t="s">
        <v>390</v>
      </c>
      <c r="P35" s="38" t="s">
        <v>843</v>
      </c>
      <c r="Q35" s="38" t="s">
        <v>1560</v>
      </c>
      <c r="R35" s="38" t="s">
        <v>1568</v>
      </c>
      <c r="S35" s="38" t="s">
        <v>266</v>
      </c>
    </row>
    <row r="36" spans="1:19" ht="50.4" customHeight="1" x14ac:dyDescent="0.3">
      <c r="A36" s="47">
        <v>10302261</v>
      </c>
      <c r="B36" s="39">
        <v>46073</v>
      </c>
      <c r="C36" s="36" t="s">
        <v>1286</v>
      </c>
      <c r="D36" s="47">
        <v>10302261</v>
      </c>
      <c r="E36" s="38" t="s">
        <v>101</v>
      </c>
      <c r="F36" s="37" t="s">
        <v>1287</v>
      </c>
      <c r="G36" s="38">
        <v>3207473302</v>
      </c>
      <c r="H36" s="38">
        <v>5</v>
      </c>
      <c r="I36" s="38" t="s">
        <v>634</v>
      </c>
      <c r="J36" s="38" t="s">
        <v>1299</v>
      </c>
      <c r="K36" s="38" t="s">
        <v>1228</v>
      </c>
      <c r="L36" s="38"/>
      <c r="M36" s="39">
        <v>46076</v>
      </c>
      <c r="N36" s="38" t="s">
        <v>842</v>
      </c>
      <c r="O36" s="38" t="s">
        <v>390</v>
      </c>
      <c r="P36" s="38" t="s">
        <v>1555</v>
      </c>
      <c r="Q36" s="38" t="s">
        <v>1561</v>
      </c>
      <c r="R36" s="38"/>
      <c r="S36" s="38"/>
    </row>
    <row r="37" spans="1:19" ht="50.4" customHeight="1" x14ac:dyDescent="0.3">
      <c r="A37" s="47">
        <v>10307077</v>
      </c>
      <c r="B37" s="48">
        <v>46017</v>
      </c>
      <c r="C37" s="36" t="s">
        <v>183</v>
      </c>
      <c r="D37" s="47">
        <v>10307077</v>
      </c>
      <c r="E37" s="36" t="s">
        <v>101</v>
      </c>
      <c r="F37" s="37" t="s">
        <v>184</v>
      </c>
      <c r="G37" s="36">
        <v>3217763244</v>
      </c>
      <c r="H37" s="36">
        <v>5</v>
      </c>
      <c r="I37" s="38" t="s">
        <v>634</v>
      </c>
      <c r="J37" s="38" t="s">
        <v>635</v>
      </c>
      <c r="K37" s="36" t="s">
        <v>242</v>
      </c>
      <c r="L37" s="36"/>
      <c r="M37" s="39">
        <v>46035</v>
      </c>
      <c r="N37" s="38" t="s">
        <v>842</v>
      </c>
      <c r="O37" s="38" t="s">
        <v>390</v>
      </c>
      <c r="P37" s="38" t="s">
        <v>842</v>
      </c>
      <c r="Q37" s="38" t="s">
        <v>1559</v>
      </c>
      <c r="R37" s="38"/>
      <c r="S37" s="38" t="s">
        <v>242</v>
      </c>
    </row>
    <row r="38" spans="1:19" ht="50.4" hidden="1" customHeight="1" x14ac:dyDescent="0.3">
      <c r="A38" s="47">
        <v>10781720</v>
      </c>
      <c r="B38" s="49">
        <v>46020</v>
      </c>
      <c r="C38" s="36" t="s">
        <v>143</v>
      </c>
      <c r="D38" s="47">
        <v>10781720</v>
      </c>
      <c r="E38" s="36" t="s">
        <v>261</v>
      </c>
      <c r="F38" s="37" t="s">
        <v>144</v>
      </c>
      <c r="G38" s="36">
        <v>3053245763</v>
      </c>
      <c r="H38" s="36">
        <v>1</v>
      </c>
      <c r="I38" s="38" t="s">
        <v>641</v>
      </c>
      <c r="J38" s="38" t="s">
        <v>698</v>
      </c>
      <c r="K38" s="36" t="s">
        <v>246</v>
      </c>
      <c r="L38" s="36"/>
      <c r="M38" s="39">
        <v>46035</v>
      </c>
      <c r="N38" s="38" t="s">
        <v>842</v>
      </c>
      <c r="O38" s="38" t="s">
        <v>380</v>
      </c>
      <c r="P38" s="38" t="s">
        <v>842</v>
      </c>
      <c r="Q38" s="38" t="s">
        <v>1559</v>
      </c>
      <c r="R38" s="38"/>
      <c r="S38" s="38" t="s">
        <v>246</v>
      </c>
    </row>
    <row r="39" spans="1:19" ht="50.4" customHeight="1" x14ac:dyDescent="0.3">
      <c r="A39" s="47">
        <v>11003600</v>
      </c>
      <c r="B39" s="49">
        <v>46020</v>
      </c>
      <c r="C39" s="36" t="s">
        <v>114</v>
      </c>
      <c r="D39" s="47">
        <v>11003600</v>
      </c>
      <c r="E39" s="36" t="s">
        <v>101</v>
      </c>
      <c r="F39" s="37" t="s">
        <v>115</v>
      </c>
      <c r="G39" s="36">
        <v>3184628449</v>
      </c>
      <c r="H39" s="36">
        <v>1</v>
      </c>
      <c r="I39" s="38" t="s">
        <v>641</v>
      </c>
      <c r="J39" s="38" t="s">
        <v>985</v>
      </c>
      <c r="K39" s="36" t="s">
        <v>252</v>
      </c>
      <c r="L39" s="36" t="s">
        <v>244</v>
      </c>
      <c r="M39" s="39">
        <v>46035</v>
      </c>
      <c r="N39" s="38" t="s">
        <v>842</v>
      </c>
      <c r="O39" s="38" t="s">
        <v>390</v>
      </c>
      <c r="P39" s="38" t="s">
        <v>842</v>
      </c>
      <c r="Q39" s="38" t="s">
        <v>1559</v>
      </c>
      <c r="R39" s="38"/>
      <c r="S39" s="38" t="s">
        <v>252</v>
      </c>
    </row>
    <row r="40" spans="1:19" ht="50.4" customHeight="1" x14ac:dyDescent="0.3">
      <c r="A40" s="47">
        <v>11039803</v>
      </c>
      <c r="B40" s="39">
        <v>46062</v>
      </c>
      <c r="C40" s="36" t="s">
        <v>1140</v>
      </c>
      <c r="D40" s="47">
        <v>11039803</v>
      </c>
      <c r="E40" s="38" t="s">
        <v>101</v>
      </c>
      <c r="F40" s="37" t="s">
        <v>1141</v>
      </c>
      <c r="G40" s="38" t="s">
        <v>1142</v>
      </c>
      <c r="H40" s="38">
        <v>5</v>
      </c>
      <c r="I40" s="38" t="s">
        <v>657</v>
      </c>
      <c r="J40" s="38" t="s">
        <v>1143</v>
      </c>
      <c r="K40" s="38"/>
      <c r="L40" s="38" t="s">
        <v>1137</v>
      </c>
      <c r="M40" s="39"/>
      <c r="N40" s="38" t="s">
        <v>843</v>
      </c>
      <c r="O40" s="38" t="s">
        <v>390</v>
      </c>
      <c r="P40" s="38" t="s">
        <v>843</v>
      </c>
      <c r="Q40" s="38"/>
      <c r="R40" s="38"/>
      <c r="S40" s="38"/>
    </row>
    <row r="41" spans="1:19" ht="50.4" customHeight="1" x14ac:dyDescent="0.3">
      <c r="A41" s="55">
        <v>11257057</v>
      </c>
      <c r="B41" s="51">
        <v>46149</v>
      </c>
      <c r="C41" s="45" t="s">
        <v>1697</v>
      </c>
      <c r="D41" s="55">
        <v>11257057</v>
      </c>
      <c r="E41" s="45" t="s">
        <v>1700</v>
      </c>
      <c r="F41" s="37" t="s">
        <v>1702</v>
      </c>
      <c r="G41" s="38"/>
      <c r="H41" s="45">
        <v>2</v>
      </c>
      <c r="I41" s="38"/>
      <c r="J41" s="38"/>
      <c r="K41" s="38" t="s">
        <v>1694</v>
      </c>
      <c r="L41" s="38"/>
      <c r="M41" s="39">
        <v>46153</v>
      </c>
      <c r="N41" s="38" t="s">
        <v>1705</v>
      </c>
      <c r="O41" s="38"/>
      <c r="P41" s="38" t="s">
        <v>843</v>
      </c>
      <c r="Q41" s="38"/>
      <c r="R41" s="38"/>
      <c r="S41" s="38"/>
    </row>
    <row r="42" spans="1:19" ht="50.4" hidden="1" customHeight="1" x14ac:dyDescent="0.3">
      <c r="A42" s="47">
        <v>11438274</v>
      </c>
      <c r="B42" s="50">
        <v>46029</v>
      </c>
      <c r="C42" s="36" t="s">
        <v>20</v>
      </c>
      <c r="D42" s="47">
        <v>11438274</v>
      </c>
      <c r="E42" s="36" t="s">
        <v>383</v>
      </c>
      <c r="F42" s="37" t="s">
        <v>21</v>
      </c>
      <c r="G42" s="36">
        <v>3125775124</v>
      </c>
      <c r="H42" s="36">
        <v>4</v>
      </c>
      <c r="I42" s="38" t="s">
        <v>631</v>
      </c>
      <c r="J42" s="38" t="s">
        <v>631</v>
      </c>
      <c r="K42" s="36" t="s">
        <v>259</v>
      </c>
      <c r="L42" s="36"/>
      <c r="M42" s="39">
        <v>46035</v>
      </c>
      <c r="N42" s="38" t="s">
        <v>842</v>
      </c>
      <c r="O42" s="38" t="s">
        <v>380</v>
      </c>
      <c r="P42" s="38" t="s">
        <v>842</v>
      </c>
      <c r="Q42" s="38" t="s">
        <v>1559</v>
      </c>
      <c r="R42" s="38"/>
      <c r="S42" s="38" t="s">
        <v>259</v>
      </c>
    </row>
    <row r="43" spans="1:19" ht="50.4" customHeight="1" x14ac:dyDescent="0.3">
      <c r="A43" s="47">
        <v>11524339</v>
      </c>
      <c r="B43" s="39">
        <v>46066</v>
      </c>
      <c r="C43" s="36" t="s">
        <v>1159</v>
      </c>
      <c r="D43" s="47">
        <v>11524339</v>
      </c>
      <c r="E43" s="38" t="s">
        <v>349</v>
      </c>
      <c r="F43" s="37" t="s">
        <v>1160</v>
      </c>
      <c r="G43" s="38">
        <v>3204118185</v>
      </c>
      <c r="H43" s="38">
        <v>1</v>
      </c>
      <c r="I43" s="38" t="s">
        <v>638</v>
      </c>
      <c r="J43" s="38" t="e">
        <v>#REF!</v>
      </c>
      <c r="K43" s="38" t="s">
        <v>1152</v>
      </c>
      <c r="L43" s="38"/>
      <c r="M43" s="39">
        <v>46076</v>
      </c>
      <c r="N43" s="38" t="s">
        <v>842</v>
      </c>
      <c r="O43" s="38" t="s">
        <v>390</v>
      </c>
      <c r="P43" s="38" t="s">
        <v>1555</v>
      </c>
      <c r="Q43" s="38" t="s">
        <v>1561</v>
      </c>
      <c r="R43" s="38"/>
      <c r="S43" s="38"/>
    </row>
    <row r="44" spans="1:19" ht="50.4" hidden="1" customHeight="1" x14ac:dyDescent="0.3">
      <c r="A44" s="47">
        <v>12020925</v>
      </c>
      <c r="B44" s="39">
        <v>46125</v>
      </c>
      <c r="C44" s="36" t="s">
        <v>1612</v>
      </c>
      <c r="D44" s="47">
        <v>12020925</v>
      </c>
      <c r="E44" s="36" t="s">
        <v>383</v>
      </c>
      <c r="F44" s="37" t="s">
        <v>1622</v>
      </c>
      <c r="G44" s="38">
        <v>3128074931</v>
      </c>
      <c r="H44" s="38">
        <v>5</v>
      </c>
      <c r="I44" s="38" t="s">
        <v>640</v>
      </c>
      <c r="J44" s="38" t="s">
        <v>971</v>
      </c>
      <c r="K44" s="38" t="s">
        <v>1615</v>
      </c>
      <c r="L44" s="38"/>
      <c r="M44" s="39"/>
      <c r="N44" s="38" t="s">
        <v>842</v>
      </c>
      <c r="O44" s="38" t="s">
        <v>380</v>
      </c>
      <c r="P44" s="38" t="s">
        <v>843</v>
      </c>
      <c r="Q44" s="38"/>
      <c r="R44" s="38"/>
      <c r="S44" s="38"/>
    </row>
    <row r="45" spans="1:19" ht="50.4" customHeight="1" x14ac:dyDescent="0.3">
      <c r="A45" s="47">
        <v>12134131</v>
      </c>
      <c r="B45" s="39">
        <v>46041</v>
      </c>
      <c r="C45" s="36" t="s">
        <v>564</v>
      </c>
      <c r="D45" s="47">
        <v>12134131</v>
      </c>
      <c r="E45" s="36" t="s">
        <v>101</v>
      </c>
      <c r="F45" s="37" t="s">
        <v>408</v>
      </c>
      <c r="G45" s="38" t="s">
        <v>409</v>
      </c>
      <c r="H45" s="38">
        <v>4</v>
      </c>
      <c r="I45" s="38" t="s">
        <v>661</v>
      </c>
      <c r="J45" s="38" t="s">
        <v>662</v>
      </c>
      <c r="K45" s="38" t="s">
        <v>407</v>
      </c>
      <c r="L45" s="38"/>
      <c r="M45" s="39">
        <v>46049</v>
      </c>
      <c r="N45" s="38" t="s">
        <v>842</v>
      </c>
      <c r="O45" s="38" t="s">
        <v>390</v>
      </c>
      <c r="P45" s="38" t="s">
        <v>842</v>
      </c>
      <c r="Q45" s="38" t="s">
        <v>1559</v>
      </c>
      <c r="R45" s="38"/>
      <c r="S45" s="38" t="s">
        <v>407</v>
      </c>
    </row>
    <row r="46" spans="1:19" ht="50.4" customHeight="1" x14ac:dyDescent="0.3">
      <c r="A46" s="47">
        <v>12228912</v>
      </c>
      <c r="B46" s="39">
        <v>46041</v>
      </c>
      <c r="C46" s="36" t="s">
        <v>513</v>
      </c>
      <c r="D46" s="47">
        <v>12228912</v>
      </c>
      <c r="E46" s="36" t="s">
        <v>101</v>
      </c>
      <c r="F46" s="37" t="s">
        <v>514</v>
      </c>
      <c r="G46" s="38" t="s">
        <v>515</v>
      </c>
      <c r="H46" s="38">
        <v>4</v>
      </c>
      <c r="I46" s="38" t="s">
        <v>661</v>
      </c>
      <c r="J46" s="38" t="s">
        <v>663</v>
      </c>
      <c r="K46" s="38" t="s">
        <v>509</v>
      </c>
      <c r="L46" s="39"/>
      <c r="M46" s="39">
        <v>46049</v>
      </c>
      <c r="N46" s="38" t="s">
        <v>842</v>
      </c>
      <c r="O46" s="38" t="s">
        <v>390</v>
      </c>
      <c r="P46" s="38" t="s">
        <v>842</v>
      </c>
      <c r="Q46" s="38" t="s">
        <v>1559</v>
      </c>
      <c r="R46" s="38"/>
      <c r="S46" s="38" t="s">
        <v>509</v>
      </c>
    </row>
    <row r="47" spans="1:19" ht="50.4" customHeight="1" x14ac:dyDescent="0.3">
      <c r="A47" s="47">
        <v>12264151</v>
      </c>
      <c r="B47" s="39">
        <v>46073</v>
      </c>
      <c r="C47" s="36" t="s">
        <v>1328</v>
      </c>
      <c r="D47" s="47">
        <v>12264151</v>
      </c>
      <c r="E47" s="38" t="s">
        <v>101</v>
      </c>
      <c r="F47" s="34" t="s">
        <v>1339</v>
      </c>
      <c r="G47" s="38">
        <v>3102466915</v>
      </c>
      <c r="H47" s="38">
        <v>4</v>
      </c>
      <c r="I47" s="38" t="s">
        <v>661</v>
      </c>
      <c r="J47" s="38" t="s">
        <v>663</v>
      </c>
      <c r="K47" s="38" t="s">
        <v>1335</v>
      </c>
      <c r="L47" s="38"/>
      <c r="M47" s="39"/>
      <c r="N47" s="38" t="s">
        <v>842</v>
      </c>
      <c r="O47" s="38" t="s">
        <v>390</v>
      </c>
      <c r="P47" s="38" t="s">
        <v>843</v>
      </c>
      <c r="Q47" s="38"/>
      <c r="R47" s="38"/>
      <c r="S47" s="38"/>
    </row>
    <row r="48" spans="1:19" ht="50.4" customHeight="1" x14ac:dyDescent="0.3">
      <c r="A48" s="47">
        <v>12264698</v>
      </c>
      <c r="B48" s="39">
        <v>46056</v>
      </c>
      <c r="C48" s="36" t="s">
        <v>928</v>
      </c>
      <c r="D48" s="47">
        <v>12264698</v>
      </c>
      <c r="E48" s="38" t="s">
        <v>101</v>
      </c>
      <c r="F48" s="37" t="s">
        <v>930</v>
      </c>
      <c r="G48" s="38">
        <v>3115324571</v>
      </c>
      <c r="H48" s="38">
        <v>5</v>
      </c>
      <c r="I48" s="38" t="s">
        <v>668</v>
      </c>
      <c r="J48" s="38" t="s">
        <v>912</v>
      </c>
      <c r="K48" s="38" t="s">
        <v>933</v>
      </c>
      <c r="L48" s="38"/>
      <c r="M48" s="39">
        <v>46063</v>
      </c>
      <c r="N48" s="38" t="s">
        <v>842</v>
      </c>
      <c r="O48" s="38" t="s">
        <v>390</v>
      </c>
      <c r="P48" s="38" t="s">
        <v>842</v>
      </c>
      <c r="Q48" s="38" t="s">
        <v>1559</v>
      </c>
      <c r="R48" s="38"/>
      <c r="S48" s="38"/>
    </row>
    <row r="49" spans="1:19" ht="50.4" customHeight="1" x14ac:dyDescent="0.3">
      <c r="A49" s="47">
        <v>12266306</v>
      </c>
      <c r="B49" s="39">
        <v>46073</v>
      </c>
      <c r="C49" s="36" t="s">
        <v>1209</v>
      </c>
      <c r="D49" s="47">
        <v>12266306</v>
      </c>
      <c r="E49" s="38" t="s">
        <v>101</v>
      </c>
      <c r="F49" s="37" t="s">
        <v>1210</v>
      </c>
      <c r="G49" s="38">
        <v>3158156658</v>
      </c>
      <c r="H49" s="38">
        <v>4</v>
      </c>
      <c r="I49" s="38" t="s">
        <v>661</v>
      </c>
      <c r="J49" s="38" t="s">
        <v>663</v>
      </c>
      <c r="K49" s="38"/>
      <c r="L49" s="38" t="s">
        <v>1196</v>
      </c>
      <c r="M49" s="39">
        <v>46076</v>
      </c>
      <c r="N49" s="38" t="s">
        <v>843</v>
      </c>
      <c r="O49" s="38" t="s">
        <v>390</v>
      </c>
      <c r="P49" s="38" t="s">
        <v>1555</v>
      </c>
      <c r="Q49" s="38" t="s">
        <v>1558</v>
      </c>
      <c r="R49" s="38"/>
      <c r="S49" s="38"/>
    </row>
    <row r="50" spans="1:19" ht="50.4" customHeight="1" x14ac:dyDescent="0.2">
      <c r="A50" s="47">
        <v>12280323</v>
      </c>
      <c r="B50" s="39">
        <v>46050</v>
      </c>
      <c r="C50" s="36" t="s">
        <v>852</v>
      </c>
      <c r="D50" s="47">
        <v>12280323</v>
      </c>
      <c r="E50" s="38" t="s">
        <v>101</v>
      </c>
      <c r="F50" s="37" t="s">
        <v>861</v>
      </c>
      <c r="G50" s="44">
        <v>3105722742</v>
      </c>
      <c r="H50" s="38">
        <v>4</v>
      </c>
      <c r="I50" s="38" t="s">
        <v>668</v>
      </c>
      <c r="J50" s="38" t="s">
        <v>912</v>
      </c>
      <c r="K50" s="38" t="s">
        <v>854</v>
      </c>
      <c r="L50" s="38"/>
      <c r="M50" s="39">
        <v>46062</v>
      </c>
      <c r="N50" s="38" t="s">
        <v>842</v>
      </c>
      <c r="O50" s="38" t="s">
        <v>390</v>
      </c>
      <c r="P50" s="38" t="s">
        <v>842</v>
      </c>
      <c r="Q50" s="38" t="s">
        <v>1559</v>
      </c>
      <c r="R50" s="38"/>
      <c r="S50" s="38"/>
    </row>
    <row r="51" spans="1:19" ht="50.4" customHeight="1" x14ac:dyDescent="0.3">
      <c r="A51" s="47">
        <v>12282196</v>
      </c>
      <c r="B51" s="39">
        <v>46066</v>
      </c>
      <c r="C51" s="36" t="s">
        <v>1316</v>
      </c>
      <c r="D51" s="47">
        <v>12282196</v>
      </c>
      <c r="E51" s="38" t="s">
        <v>101</v>
      </c>
      <c r="F51" s="37" t="s">
        <v>1320</v>
      </c>
      <c r="G51" s="38" t="s">
        <v>1322</v>
      </c>
      <c r="H51" s="38">
        <v>4</v>
      </c>
      <c r="I51" s="38" t="s">
        <v>661</v>
      </c>
      <c r="J51" s="38" t="s">
        <v>684</v>
      </c>
      <c r="K51" s="38" t="s">
        <v>1323</v>
      </c>
      <c r="L51" s="38"/>
      <c r="M51" s="39"/>
      <c r="N51" s="38" t="s">
        <v>842</v>
      </c>
      <c r="O51" s="38" t="s">
        <v>390</v>
      </c>
      <c r="P51" s="38" t="s">
        <v>842</v>
      </c>
      <c r="Q51" s="38"/>
      <c r="R51" s="38"/>
      <c r="S51" s="38"/>
    </row>
    <row r="52" spans="1:19" ht="50.4" customHeight="1" x14ac:dyDescent="0.3">
      <c r="A52" s="47">
        <v>12647338</v>
      </c>
      <c r="B52" s="39">
        <v>46097</v>
      </c>
      <c r="C52" s="38" t="s">
        <v>1428</v>
      </c>
      <c r="D52" s="47">
        <v>12647338</v>
      </c>
      <c r="E52" s="38" t="s">
        <v>101</v>
      </c>
      <c r="F52" s="37" t="s">
        <v>1462</v>
      </c>
      <c r="G52" s="38">
        <v>3128186985</v>
      </c>
      <c r="H52" s="38">
        <v>1</v>
      </c>
      <c r="I52" s="38" t="s">
        <v>638</v>
      </c>
      <c r="J52" s="38" t="e">
        <v>#REF!</v>
      </c>
      <c r="K52" s="38" t="s">
        <v>1418</v>
      </c>
      <c r="L52" s="38"/>
      <c r="M52" s="39"/>
      <c r="N52" s="38" t="s">
        <v>842</v>
      </c>
      <c r="O52" s="38" t="s">
        <v>390</v>
      </c>
      <c r="P52" s="38" t="s">
        <v>843</v>
      </c>
      <c r="Q52" s="38"/>
      <c r="R52" s="38"/>
      <c r="S52" s="38"/>
    </row>
    <row r="53" spans="1:19" ht="50.4" hidden="1" customHeight="1" x14ac:dyDescent="0.3">
      <c r="A53" s="47">
        <v>12749141</v>
      </c>
      <c r="B53" s="39">
        <v>46106</v>
      </c>
      <c r="C53" s="36" t="s">
        <v>1501</v>
      </c>
      <c r="D53" s="47">
        <v>12749141</v>
      </c>
      <c r="E53" s="38" t="s">
        <v>1503</v>
      </c>
      <c r="F53" s="37" t="s">
        <v>1512</v>
      </c>
      <c r="G53" s="38">
        <v>3024347363</v>
      </c>
      <c r="H53" s="38">
        <v>5</v>
      </c>
      <c r="I53" s="38" t="s">
        <v>645</v>
      </c>
      <c r="J53" s="38" t="s">
        <v>664</v>
      </c>
      <c r="K53" s="38" t="s">
        <v>1523</v>
      </c>
      <c r="L53" s="38"/>
      <c r="M53" s="39"/>
      <c r="N53" s="38" t="s">
        <v>842</v>
      </c>
      <c r="O53" s="38" t="s">
        <v>380</v>
      </c>
      <c r="P53" s="38" t="s">
        <v>843</v>
      </c>
      <c r="Q53" s="38"/>
      <c r="R53" s="38"/>
      <c r="S53" s="38"/>
    </row>
    <row r="54" spans="1:19" ht="50.4" customHeight="1" x14ac:dyDescent="0.3">
      <c r="A54" s="47">
        <v>12753416</v>
      </c>
      <c r="B54" s="48">
        <v>46017</v>
      </c>
      <c r="C54" s="36" t="s">
        <v>222</v>
      </c>
      <c r="D54" s="47">
        <v>12753416</v>
      </c>
      <c r="E54" s="36" t="s">
        <v>101</v>
      </c>
      <c r="F54" s="37" t="s">
        <v>223</v>
      </c>
      <c r="G54" s="36">
        <v>3135993959</v>
      </c>
      <c r="H54" s="36">
        <v>5</v>
      </c>
      <c r="I54" s="38" t="s">
        <v>645</v>
      </c>
      <c r="J54" s="38" t="s">
        <v>664</v>
      </c>
      <c r="K54" s="36" t="s">
        <v>242</v>
      </c>
      <c r="L54" s="36"/>
      <c r="M54" s="39">
        <v>46035</v>
      </c>
      <c r="N54" s="38" t="s">
        <v>842</v>
      </c>
      <c r="O54" s="38" t="s">
        <v>390</v>
      </c>
      <c r="P54" s="38" t="s">
        <v>842</v>
      </c>
      <c r="Q54" s="38" t="s">
        <v>1559</v>
      </c>
      <c r="R54" s="38"/>
      <c r="S54" s="38" t="s">
        <v>242</v>
      </c>
    </row>
    <row r="55" spans="1:19" ht="50.4" customHeight="1" x14ac:dyDescent="0.3">
      <c r="A55" s="47">
        <v>12975326</v>
      </c>
      <c r="B55" s="39">
        <v>46041</v>
      </c>
      <c r="C55" s="36" t="s">
        <v>565</v>
      </c>
      <c r="D55" s="47">
        <v>12975326</v>
      </c>
      <c r="E55" s="36" t="s">
        <v>101</v>
      </c>
      <c r="F55" s="37" t="s">
        <v>410</v>
      </c>
      <c r="G55" s="38" t="s">
        <v>411</v>
      </c>
      <c r="H55" s="38">
        <v>5</v>
      </c>
      <c r="I55" s="38" t="s">
        <v>645</v>
      </c>
      <c r="J55" s="38" t="s">
        <v>664</v>
      </c>
      <c r="K55" s="38" t="s">
        <v>407</v>
      </c>
      <c r="L55" s="38"/>
      <c r="M55" s="39">
        <v>46049</v>
      </c>
      <c r="N55" s="38" t="s">
        <v>842</v>
      </c>
      <c r="O55" s="38" t="s">
        <v>390</v>
      </c>
      <c r="P55" s="38" t="s">
        <v>842</v>
      </c>
      <c r="Q55" s="38" t="s">
        <v>1559</v>
      </c>
      <c r="R55" s="38"/>
      <c r="S55" s="38" t="s">
        <v>407</v>
      </c>
    </row>
    <row r="56" spans="1:19" ht="50.4" customHeight="1" x14ac:dyDescent="0.3">
      <c r="A56" s="47">
        <v>13543356</v>
      </c>
      <c r="B56" s="39">
        <v>46073</v>
      </c>
      <c r="C56" s="36" t="s">
        <v>1329</v>
      </c>
      <c r="D56" s="47">
        <v>13543356</v>
      </c>
      <c r="E56" s="38" t="s">
        <v>101</v>
      </c>
      <c r="F56" s="37" t="s">
        <v>1340</v>
      </c>
      <c r="G56" s="38">
        <v>3146157671</v>
      </c>
      <c r="H56" s="38">
        <v>5</v>
      </c>
      <c r="I56" s="38" t="s">
        <v>668</v>
      </c>
      <c r="J56" s="38" t="s">
        <v>1348</v>
      </c>
      <c r="K56" s="38" t="s">
        <v>1335</v>
      </c>
      <c r="L56" s="38"/>
      <c r="M56" s="39"/>
      <c r="N56" s="38" t="s">
        <v>842</v>
      </c>
      <c r="O56" s="38" t="s">
        <v>390</v>
      </c>
      <c r="P56" s="38" t="s">
        <v>843</v>
      </c>
      <c r="Q56" s="38"/>
      <c r="R56" s="38"/>
      <c r="S56" s="38"/>
    </row>
    <row r="57" spans="1:19" ht="50.4" customHeight="1" x14ac:dyDescent="0.3">
      <c r="A57" s="47">
        <v>14295673</v>
      </c>
      <c r="B57" s="51">
        <v>46032</v>
      </c>
      <c r="C57" s="36" t="s">
        <v>272</v>
      </c>
      <c r="D57" s="47">
        <v>14295673</v>
      </c>
      <c r="E57" s="36" t="s">
        <v>101</v>
      </c>
      <c r="F57" s="37" t="s">
        <v>273</v>
      </c>
      <c r="G57" s="43">
        <v>3208144940</v>
      </c>
      <c r="H57" s="38">
        <v>2</v>
      </c>
      <c r="I57" s="38" t="s">
        <v>665</v>
      </c>
      <c r="J57" s="38" t="s">
        <v>666</v>
      </c>
      <c r="K57" s="38" t="s">
        <v>266</v>
      </c>
      <c r="L57" s="38"/>
      <c r="M57" s="39">
        <v>46039</v>
      </c>
      <c r="N57" s="38" t="s">
        <v>842</v>
      </c>
      <c r="O57" s="38" t="s">
        <v>390</v>
      </c>
      <c r="P57" s="38" t="s">
        <v>843</v>
      </c>
      <c r="Q57" s="38" t="s">
        <v>1560</v>
      </c>
      <c r="R57" s="38"/>
      <c r="S57" s="38" t="s">
        <v>266</v>
      </c>
    </row>
    <row r="58" spans="1:19" ht="50.4" customHeight="1" x14ac:dyDescent="0.3">
      <c r="A58" s="47">
        <v>14296011</v>
      </c>
      <c r="B58" s="39">
        <v>46041</v>
      </c>
      <c r="C58" s="36" t="s">
        <v>420</v>
      </c>
      <c r="D58" s="47">
        <v>14296011</v>
      </c>
      <c r="E58" s="36" t="s">
        <v>101</v>
      </c>
      <c r="F58" s="37" t="s">
        <v>421</v>
      </c>
      <c r="G58" s="38" t="s">
        <v>422</v>
      </c>
      <c r="H58" s="38">
        <v>4</v>
      </c>
      <c r="I58" s="38" t="s">
        <v>665</v>
      </c>
      <c r="J58" s="38" t="s">
        <v>666</v>
      </c>
      <c r="K58" s="38" t="s">
        <v>407</v>
      </c>
      <c r="L58" s="38"/>
      <c r="M58" s="39">
        <v>46049</v>
      </c>
      <c r="N58" s="38" t="s">
        <v>842</v>
      </c>
      <c r="O58" s="38" t="s">
        <v>390</v>
      </c>
      <c r="P58" s="38" t="s">
        <v>842</v>
      </c>
      <c r="Q58" s="38" t="s">
        <v>1560</v>
      </c>
      <c r="R58" s="38"/>
      <c r="S58" s="38" t="s">
        <v>407</v>
      </c>
    </row>
    <row r="59" spans="1:19" ht="50.4" customHeight="1" x14ac:dyDescent="0.3">
      <c r="A59" s="47">
        <v>14322190</v>
      </c>
      <c r="B59" s="39">
        <v>46032</v>
      </c>
      <c r="C59" s="36" t="s">
        <v>449</v>
      </c>
      <c r="D59" s="47">
        <v>14322190</v>
      </c>
      <c r="E59" s="36" t="s">
        <v>101</v>
      </c>
      <c r="F59" s="37" t="s">
        <v>450</v>
      </c>
      <c r="G59" s="38" t="s">
        <v>451</v>
      </c>
      <c r="H59" s="38">
        <v>2</v>
      </c>
      <c r="I59" s="38" t="s">
        <v>647</v>
      </c>
      <c r="J59" s="38" t="s">
        <v>667</v>
      </c>
      <c r="K59" s="38" t="s">
        <v>448</v>
      </c>
      <c r="L59" s="39"/>
      <c r="M59" s="39">
        <v>46039</v>
      </c>
      <c r="N59" s="38" t="s">
        <v>842</v>
      </c>
      <c r="O59" s="38" t="s">
        <v>390</v>
      </c>
      <c r="P59" s="38" t="s">
        <v>842</v>
      </c>
      <c r="Q59" s="38" t="s">
        <v>1559</v>
      </c>
      <c r="R59" s="38" t="s">
        <v>1577</v>
      </c>
      <c r="S59" s="38" t="s">
        <v>448</v>
      </c>
    </row>
    <row r="60" spans="1:19" ht="50.4" customHeight="1" x14ac:dyDescent="0.3">
      <c r="A60" s="47">
        <v>15354871</v>
      </c>
      <c r="B60" s="49">
        <v>46020</v>
      </c>
      <c r="C60" s="36" t="s">
        <v>135</v>
      </c>
      <c r="D60" s="47">
        <v>15354871</v>
      </c>
      <c r="E60" s="36" t="s">
        <v>101</v>
      </c>
      <c r="F60" s="37" t="s">
        <v>136</v>
      </c>
      <c r="G60" s="36">
        <v>3136512879</v>
      </c>
      <c r="H60" s="36">
        <v>5</v>
      </c>
      <c r="I60" s="38" t="s">
        <v>657</v>
      </c>
      <c r="J60" s="38" t="s">
        <v>1134</v>
      </c>
      <c r="K60" s="36" t="s">
        <v>838</v>
      </c>
      <c r="L60" s="36"/>
      <c r="M60" s="39">
        <v>46062</v>
      </c>
      <c r="N60" s="38" t="s">
        <v>842</v>
      </c>
      <c r="O60" s="38" t="s">
        <v>390</v>
      </c>
      <c r="P60" s="38" t="s">
        <v>842</v>
      </c>
      <c r="Q60" s="38" t="s">
        <v>1559</v>
      </c>
      <c r="R60" s="38"/>
      <c r="S60" s="38" t="s">
        <v>838</v>
      </c>
    </row>
    <row r="61" spans="1:19" ht="50.4" customHeight="1" x14ac:dyDescent="0.3">
      <c r="A61" s="47">
        <v>16494633</v>
      </c>
      <c r="B61" s="39">
        <v>46062</v>
      </c>
      <c r="C61" s="36" t="s">
        <v>999</v>
      </c>
      <c r="D61" s="47">
        <v>16494633</v>
      </c>
      <c r="E61" s="38" t="s">
        <v>349</v>
      </c>
      <c r="F61" s="37" t="s">
        <v>1000</v>
      </c>
      <c r="G61" s="38">
        <v>3167513036</v>
      </c>
      <c r="H61" s="38">
        <v>5</v>
      </c>
      <c r="I61" s="38" t="s">
        <v>652</v>
      </c>
      <c r="J61" s="38" t="s">
        <v>1117</v>
      </c>
      <c r="K61" s="38"/>
      <c r="L61" s="38" t="s">
        <v>996</v>
      </c>
      <c r="M61" s="39">
        <v>46069</v>
      </c>
      <c r="N61" s="38" t="s">
        <v>843</v>
      </c>
      <c r="O61" s="38" t="s">
        <v>390</v>
      </c>
      <c r="P61" s="38" t="s">
        <v>843</v>
      </c>
      <c r="Q61" s="38" t="s">
        <v>1558</v>
      </c>
      <c r="R61" s="38"/>
      <c r="S61" s="38"/>
    </row>
    <row r="62" spans="1:19" ht="50.4" customHeight="1" x14ac:dyDescent="0.3">
      <c r="A62" s="47">
        <v>16495436</v>
      </c>
      <c r="B62" s="39">
        <v>46056</v>
      </c>
      <c r="C62" s="36" t="s">
        <v>871</v>
      </c>
      <c r="D62" s="47">
        <v>16495436</v>
      </c>
      <c r="E62" s="38" t="s">
        <v>101</v>
      </c>
      <c r="F62" s="37" t="s">
        <v>890</v>
      </c>
      <c r="G62" s="38">
        <v>3165381347</v>
      </c>
      <c r="H62" s="38">
        <v>5</v>
      </c>
      <c r="I62" s="38" t="s">
        <v>652</v>
      </c>
      <c r="J62" s="38" t="s">
        <v>710</v>
      </c>
      <c r="K62" s="38" t="s">
        <v>870</v>
      </c>
      <c r="L62" s="38"/>
      <c r="M62" s="39">
        <v>46062</v>
      </c>
      <c r="N62" s="38" t="s">
        <v>842</v>
      </c>
      <c r="O62" s="38" t="s">
        <v>390</v>
      </c>
      <c r="P62" s="38" t="s">
        <v>842</v>
      </c>
      <c r="Q62" s="38" t="s">
        <v>1559</v>
      </c>
      <c r="R62" s="38"/>
      <c r="S62" s="38"/>
    </row>
    <row r="63" spans="1:19" ht="50.4" customHeight="1" x14ac:dyDescent="0.3">
      <c r="A63" s="47">
        <v>17658138</v>
      </c>
      <c r="B63" s="39">
        <v>46056</v>
      </c>
      <c r="C63" s="36" t="s">
        <v>880</v>
      </c>
      <c r="D63" s="47">
        <v>17658138</v>
      </c>
      <c r="E63" s="38" t="s">
        <v>101</v>
      </c>
      <c r="F63" s="37" t="s">
        <v>899</v>
      </c>
      <c r="G63" s="38">
        <v>3168231223</v>
      </c>
      <c r="H63" s="38">
        <v>4</v>
      </c>
      <c r="I63" s="38" t="s">
        <v>970</v>
      </c>
      <c r="J63" s="38" t="s">
        <v>700</v>
      </c>
      <c r="K63" s="38" t="s">
        <v>870</v>
      </c>
      <c r="L63" s="38"/>
      <c r="M63" s="39">
        <v>46062</v>
      </c>
      <c r="N63" s="38" t="s">
        <v>842</v>
      </c>
      <c r="O63" s="38" t="s">
        <v>390</v>
      </c>
      <c r="P63" s="38" t="s">
        <v>843</v>
      </c>
      <c r="Q63" s="38" t="s">
        <v>1561</v>
      </c>
      <c r="R63" s="38"/>
      <c r="S63" s="38"/>
    </row>
    <row r="64" spans="1:19" ht="50.4" customHeight="1" x14ac:dyDescent="0.3">
      <c r="A64" s="47">
        <v>18128859</v>
      </c>
      <c r="B64" s="39">
        <v>46041</v>
      </c>
      <c r="C64" s="36" t="s">
        <v>566</v>
      </c>
      <c r="D64" s="47">
        <v>18128859</v>
      </c>
      <c r="E64" s="36" t="s">
        <v>101</v>
      </c>
      <c r="F64" s="37" t="s">
        <v>416</v>
      </c>
      <c r="G64" s="38" t="s">
        <v>417</v>
      </c>
      <c r="H64" s="38">
        <v>5</v>
      </c>
      <c r="I64" s="38" t="s">
        <v>668</v>
      </c>
      <c r="J64" s="38" t="s">
        <v>669</v>
      </c>
      <c r="K64" s="38" t="s">
        <v>407</v>
      </c>
      <c r="L64" s="38"/>
      <c r="M64" s="39">
        <v>46049</v>
      </c>
      <c r="N64" s="38" t="s">
        <v>842</v>
      </c>
      <c r="O64" s="38" t="s">
        <v>390</v>
      </c>
      <c r="P64" s="38" t="s">
        <v>842</v>
      </c>
      <c r="Q64" s="38" t="s">
        <v>1559</v>
      </c>
      <c r="R64" s="38"/>
      <c r="S64" s="38" t="s">
        <v>407</v>
      </c>
    </row>
    <row r="65" spans="1:19" ht="50.4" customHeight="1" x14ac:dyDescent="0.3">
      <c r="A65" s="47">
        <v>18204405</v>
      </c>
      <c r="B65" s="39">
        <v>46125</v>
      </c>
      <c r="C65" s="36" t="s">
        <v>1614</v>
      </c>
      <c r="D65" s="47">
        <v>18204405</v>
      </c>
      <c r="E65" s="38" t="s">
        <v>101</v>
      </c>
      <c r="F65" s="37" t="s">
        <v>1624</v>
      </c>
      <c r="G65" s="38">
        <v>3229171865</v>
      </c>
      <c r="H65" s="38">
        <v>4</v>
      </c>
      <c r="I65" s="38" t="s">
        <v>1625</v>
      </c>
      <c r="J65" s="38" t="s">
        <v>1626</v>
      </c>
      <c r="K65" s="38"/>
      <c r="L65" s="38" t="s">
        <v>1615</v>
      </c>
      <c r="M65" s="39"/>
      <c r="N65" s="38" t="s">
        <v>843</v>
      </c>
      <c r="O65" s="38" t="s">
        <v>390</v>
      </c>
      <c r="P65" s="38" t="s">
        <v>843</v>
      </c>
      <c r="Q65" s="38"/>
      <c r="R65" s="38"/>
      <c r="S65" s="38"/>
    </row>
    <row r="66" spans="1:19" ht="50.4" customHeight="1" x14ac:dyDescent="0.3">
      <c r="A66" s="47">
        <v>18205564</v>
      </c>
      <c r="B66" s="39">
        <v>46125</v>
      </c>
      <c r="C66" s="36" t="s">
        <v>1606</v>
      </c>
      <c r="D66" s="47">
        <v>18205564</v>
      </c>
      <c r="E66" s="38" t="s">
        <v>101</v>
      </c>
      <c r="F66" s="37" t="s">
        <v>1616</v>
      </c>
      <c r="G66" s="38" t="s">
        <v>1627</v>
      </c>
      <c r="H66" s="38">
        <v>4</v>
      </c>
      <c r="I66" s="38" t="s">
        <v>1625</v>
      </c>
      <c r="J66" s="38" t="s">
        <v>1626</v>
      </c>
      <c r="K66" s="38" t="s">
        <v>1615</v>
      </c>
      <c r="L66" s="38"/>
      <c r="M66" s="39"/>
      <c r="N66" s="38" t="s">
        <v>842</v>
      </c>
      <c r="O66" s="38" t="s">
        <v>390</v>
      </c>
      <c r="P66" s="38" t="s">
        <v>843</v>
      </c>
      <c r="Q66" s="38"/>
      <c r="R66" s="38"/>
      <c r="S66" s="38"/>
    </row>
    <row r="67" spans="1:19" ht="50.4" customHeight="1" x14ac:dyDescent="0.3">
      <c r="A67" s="47">
        <v>18262113</v>
      </c>
      <c r="B67" s="39">
        <v>46062</v>
      </c>
      <c r="C67" s="36" t="s">
        <v>1105</v>
      </c>
      <c r="D67" s="47">
        <v>18262113</v>
      </c>
      <c r="E67" s="38" t="s">
        <v>101</v>
      </c>
      <c r="F67" s="37" t="s">
        <v>1067</v>
      </c>
      <c r="G67" s="38">
        <v>3107855175</v>
      </c>
      <c r="H67" s="38">
        <v>4</v>
      </c>
      <c r="I67" s="38" t="s">
        <v>972</v>
      </c>
      <c r="J67" s="38" t="s">
        <v>973</v>
      </c>
      <c r="K67" s="38" t="s">
        <v>1064</v>
      </c>
      <c r="L67" s="38"/>
      <c r="M67" s="39">
        <v>46072</v>
      </c>
      <c r="N67" s="38" t="s">
        <v>842</v>
      </c>
      <c r="O67" s="38" t="s">
        <v>390</v>
      </c>
      <c r="P67" s="38" t="s">
        <v>842</v>
      </c>
      <c r="Q67" s="38" t="s">
        <v>1559</v>
      </c>
      <c r="R67" s="38" t="s">
        <v>1585</v>
      </c>
      <c r="S67" s="38"/>
    </row>
    <row r="68" spans="1:19" ht="50.4" customHeight="1" x14ac:dyDescent="0.2">
      <c r="A68" s="47">
        <v>18522139</v>
      </c>
      <c r="B68" s="48">
        <v>46050</v>
      </c>
      <c r="C68" s="36" t="s">
        <v>728</v>
      </c>
      <c r="D68" s="47">
        <v>18522139</v>
      </c>
      <c r="E68" s="36" t="s">
        <v>101</v>
      </c>
      <c r="F68" s="37" t="s">
        <v>729</v>
      </c>
      <c r="G68" s="36">
        <v>3164729794</v>
      </c>
      <c r="H68" s="52">
        <v>2</v>
      </c>
      <c r="I68" s="38" t="s">
        <v>659</v>
      </c>
      <c r="J68" s="38" t="s">
        <v>660</v>
      </c>
      <c r="K68" s="52" t="s">
        <v>834</v>
      </c>
      <c r="L68" s="52"/>
      <c r="M68" s="39">
        <v>46062</v>
      </c>
      <c r="N68" s="38" t="s">
        <v>842</v>
      </c>
      <c r="O68" s="38" t="s">
        <v>390</v>
      </c>
      <c r="P68" s="38" t="s">
        <v>843</v>
      </c>
      <c r="Q68" s="38" t="s">
        <v>1560</v>
      </c>
      <c r="R68" s="38"/>
      <c r="S68" s="38" t="s">
        <v>834</v>
      </c>
    </row>
    <row r="69" spans="1:19" ht="50.4" customHeight="1" x14ac:dyDescent="0.3">
      <c r="A69" s="47">
        <v>18776568</v>
      </c>
      <c r="B69" s="39">
        <v>46125</v>
      </c>
      <c r="C69" s="36" t="s">
        <v>1611</v>
      </c>
      <c r="D69" s="47">
        <v>18776568</v>
      </c>
      <c r="E69" s="38" t="s">
        <v>101</v>
      </c>
      <c r="F69" s="37" t="s">
        <v>1621</v>
      </c>
      <c r="G69" s="38">
        <v>3014810203</v>
      </c>
      <c r="H69" s="38">
        <v>1</v>
      </c>
      <c r="I69" s="38" t="s">
        <v>693</v>
      </c>
      <c r="J69" s="38" t="s">
        <v>694</v>
      </c>
      <c r="K69" s="38" t="s">
        <v>1615</v>
      </c>
      <c r="L69" s="38"/>
      <c r="M69" s="39"/>
      <c r="N69" s="38" t="s">
        <v>842</v>
      </c>
      <c r="O69" s="38" t="s">
        <v>390</v>
      </c>
      <c r="P69" s="38" t="s">
        <v>843</v>
      </c>
      <c r="Q69" s="38"/>
      <c r="R69" s="38"/>
      <c r="S69" s="38"/>
    </row>
    <row r="70" spans="1:19" ht="50.4" customHeight="1" x14ac:dyDescent="0.3">
      <c r="A70" s="47">
        <v>18969095</v>
      </c>
      <c r="B70" s="39">
        <v>46041</v>
      </c>
      <c r="C70" s="36" t="s">
        <v>585</v>
      </c>
      <c r="D70" s="47">
        <v>18969095</v>
      </c>
      <c r="E70" s="36" t="s">
        <v>349</v>
      </c>
      <c r="F70" s="37" t="s">
        <v>396</v>
      </c>
      <c r="G70" s="38">
        <v>3145209209</v>
      </c>
      <c r="H70" s="38">
        <v>1</v>
      </c>
      <c r="I70" s="38" t="s">
        <v>638</v>
      </c>
      <c r="J70" s="38" t="s">
        <v>725</v>
      </c>
      <c r="K70" s="42"/>
      <c r="L70" s="38" t="s">
        <v>397</v>
      </c>
      <c r="M70" s="39">
        <v>46049</v>
      </c>
      <c r="N70" s="38" t="s">
        <v>843</v>
      </c>
      <c r="O70" s="38" t="s">
        <v>390</v>
      </c>
      <c r="P70" s="38" t="s">
        <v>843</v>
      </c>
      <c r="Q70" s="38" t="s">
        <v>1558</v>
      </c>
      <c r="R70" s="38"/>
      <c r="S70" s="38"/>
    </row>
    <row r="71" spans="1:19" ht="50.4" hidden="1" customHeight="1" x14ac:dyDescent="0.3">
      <c r="A71" s="47">
        <v>19431225</v>
      </c>
      <c r="B71" s="39">
        <v>46038</v>
      </c>
      <c r="C71" s="36" t="s">
        <v>351</v>
      </c>
      <c r="D71" s="47">
        <v>19431225</v>
      </c>
      <c r="E71" s="36" t="s">
        <v>389</v>
      </c>
      <c r="F71" s="37" t="s">
        <v>102</v>
      </c>
      <c r="G71" s="38" t="s">
        <v>724</v>
      </c>
      <c r="H71" s="38">
        <v>5</v>
      </c>
      <c r="I71" s="38" t="s">
        <v>631</v>
      </c>
      <c r="J71" s="38" t="s">
        <v>631</v>
      </c>
      <c r="K71" s="38" t="s">
        <v>472</v>
      </c>
      <c r="L71" s="38"/>
      <c r="M71" s="39">
        <v>46043</v>
      </c>
      <c r="N71" s="38" t="s">
        <v>842</v>
      </c>
      <c r="O71" s="38" t="s">
        <v>390</v>
      </c>
      <c r="P71" s="38" t="s">
        <v>843</v>
      </c>
      <c r="Q71" s="38" t="s">
        <v>1561</v>
      </c>
      <c r="R71" s="38" t="s">
        <v>1565</v>
      </c>
      <c r="S71" s="38" t="s">
        <v>472</v>
      </c>
    </row>
    <row r="72" spans="1:19" ht="50.4" customHeight="1" x14ac:dyDescent="0.3">
      <c r="A72" s="47">
        <v>19455287</v>
      </c>
      <c r="B72" s="39">
        <v>46041</v>
      </c>
      <c r="C72" s="36" t="s">
        <v>423</v>
      </c>
      <c r="D72" s="47">
        <v>19455287</v>
      </c>
      <c r="E72" s="36" t="s">
        <v>101</v>
      </c>
      <c r="F72" s="37" t="s">
        <v>424</v>
      </c>
      <c r="G72" s="38" t="s">
        <v>425</v>
      </c>
      <c r="H72" s="38">
        <v>2</v>
      </c>
      <c r="I72" s="38" t="s">
        <v>647</v>
      </c>
      <c r="J72" s="38" t="s">
        <v>670</v>
      </c>
      <c r="K72" s="38" t="s">
        <v>407</v>
      </c>
      <c r="L72" s="38"/>
      <c r="M72" s="39">
        <v>46049</v>
      </c>
      <c r="N72" s="38" t="s">
        <v>842</v>
      </c>
      <c r="O72" s="38" t="s">
        <v>390</v>
      </c>
      <c r="P72" s="38" t="s">
        <v>842</v>
      </c>
      <c r="Q72" s="38" t="s">
        <v>1560</v>
      </c>
      <c r="R72" s="38" t="s">
        <v>1573</v>
      </c>
      <c r="S72" s="38" t="s">
        <v>407</v>
      </c>
    </row>
    <row r="73" spans="1:19" ht="50.4" hidden="1" customHeight="1" x14ac:dyDescent="0.2">
      <c r="A73" s="47"/>
      <c r="B73" s="39">
        <v>46161</v>
      </c>
      <c r="C73" s="58" t="s">
        <v>1716</v>
      </c>
      <c r="D73" s="58">
        <v>24231684</v>
      </c>
      <c r="E73" s="58" t="s">
        <v>1714</v>
      </c>
      <c r="F73" s="59" t="s">
        <v>1736</v>
      </c>
      <c r="G73" s="58">
        <v>3138681044</v>
      </c>
      <c r="H73" s="60">
        <v>3</v>
      </c>
      <c r="I73" s="38"/>
      <c r="J73" s="38"/>
      <c r="K73" s="57" t="s">
        <v>1760</v>
      </c>
      <c r="L73" s="38"/>
      <c r="M73" s="39">
        <v>46163</v>
      </c>
      <c r="N73" s="38" t="s">
        <v>1705</v>
      </c>
      <c r="O73" s="38"/>
      <c r="P73" s="38"/>
      <c r="Q73" s="38"/>
      <c r="R73" s="38"/>
      <c r="S73" s="38"/>
    </row>
    <row r="74" spans="1:19" ht="50.4" customHeight="1" x14ac:dyDescent="0.3">
      <c r="A74" s="47">
        <v>24988900</v>
      </c>
      <c r="B74" s="39">
        <v>46097</v>
      </c>
      <c r="C74" s="38" t="s">
        <v>1450</v>
      </c>
      <c r="D74" s="47">
        <v>24988900</v>
      </c>
      <c r="E74" s="36" t="s">
        <v>101</v>
      </c>
      <c r="F74" s="37" t="s">
        <v>1487</v>
      </c>
      <c r="G74" s="38">
        <v>3144449861</v>
      </c>
      <c r="H74" s="38">
        <v>2</v>
      </c>
      <c r="I74" s="38" t="s">
        <v>1063</v>
      </c>
      <c r="J74" s="38" t="e">
        <v>#REF!</v>
      </c>
      <c r="K74" s="38" t="s">
        <v>1418</v>
      </c>
      <c r="L74" s="38"/>
      <c r="M74" s="39"/>
      <c r="N74" s="38" t="s">
        <v>842</v>
      </c>
      <c r="O74" s="38" t="s">
        <v>390</v>
      </c>
      <c r="P74" s="38" t="s">
        <v>843</v>
      </c>
      <c r="Q74" s="38"/>
      <c r="R74" s="38"/>
      <c r="S74" s="38"/>
    </row>
    <row r="75" spans="1:19" ht="50.4" hidden="1" customHeight="1" x14ac:dyDescent="0.3">
      <c r="A75" s="47">
        <v>25272699</v>
      </c>
      <c r="B75" s="49">
        <v>46020</v>
      </c>
      <c r="C75" s="36" t="s">
        <v>149</v>
      </c>
      <c r="D75" s="47">
        <v>25272699</v>
      </c>
      <c r="E75" s="36" t="s">
        <v>384</v>
      </c>
      <c r="F75" s="37" t="s">
        <v>86</v>
      </c>
      <c r="G75" s="36">
        <v>3104204528</v>
      </c>
      <c r="H75" s="36">
        <v>5</v>
      </c>
      <c r="I75" s="38" t="s">
        <v>723</v>
      </c>
      <c r="J75" s="38" t="s">
        <v>635</v>
      </c>
      <c r="K75" s="36" t="s">
        <v>251</v>
      </c>
      <c r="L75" s="36"/>
      <c r="M75" s="39">
        <v>46035</v>
      </c>
      <c r="N75" s="38" t="s">
        <v>842</v>
      </c>
      <c r="O75" s="38" t="s">
        <v>380</v>
      </c>
      <c r="P75" s="38" t="s">
        <v>842</v>
      </c>
      <c r="Q75" s="38" t="s">
        <v>1559</v>
      </c>
      <c r="R75" s="38"/>
      <c r="S75" s="38" t="s">
        <v>251</v>
      </c>
    </row>
    <row r="76" spans="1:19" ht="50.4" hidden="1" customHeight="1" x14ac:dyDescent="0.3">
      <c r="A76" s="47">
        <v>25277702</v>
      </c>
      <c r="B76" s="48">
        <v>46017</v>
      </c>
      <c r="C76" s="36" t="s">
        <v>237</v>
      </c>
      <c r="D76" s="47">
        <v>25277702</v>
      </c>
      <c r="E76" s="36" t="s">
        <v>384</v>
      </c>
      <c r="F76" s="37" t="s">
        <v>238</v>
      </c>
      <c r="G76" s="36">
        <v>3218684945</v>
      </c>
      <c r="H76" s="36">
        <v>5</v>
      </c>
      <c r="I76" s="38" t="s">
        <v>634</v>
      </c>
      <c r="J76" s="38" t="s">
        <v>635</v>
      </c>
      <c r="K76" s="36" t="s">
        <v>242</v>
      </c>
      <c r="L76" s="36"/>
      <c r="M76" s="39">
        <v>46035</v>
      </c>
      <c r="N76" s="38" t="s">
        <v>842</v>
      </c>
      <c r="O76" s="38" t="s">
        <v>380</v>
      </c>
      <c r="P76" s="38" t="s">
        <v>842</v>
      </c>
      <c r="Q76" s="38" t="s">
        <v>1559</v>
      </c>
      <c r="R76" s="38"/>
      <c r="S76" s="38" t="s">
        <v>242</v>
      </c>
    </row>
    <row r="77" spans="1:19" ht="50.4" customHeight="1" x14ac:dyDescent="0.3">
      <c r="A77" s="47">
        <v>25282094</v>
      </c>
      <c r="B77" s="39">
        <v>46045</v>
      </c>
      <c r="C77" s="36" t="s">
        <v>616</v>
      </c>
      <c r="D77" s="47">
        <v>25282094</v>
      </c>
      <c r="E77" s="36" t="s">
        <v>349</v>
      </c>
      <c r="F77" s="37" t="s">
        <v>593</v>
      </c>
      <c r="G77" s="38">
        <v>3128243365</v>
      </c>
      <c r="H77" s="38">
        <v>5</v>
      </c>
      <c r="I77" s="38" t="s">
        <v>634</v>
      </c>
      <c r="J77" s="38" t="s">
        <v>635</v>
      </c>
      <c r="K77" s="38" t="s">
        <v>589</v>
      </c>
      <c r="L77" s="38"/>
      <c r="M77" s="39">
        <v>46049</v>
      </c>
      <c r="N77" s="38" t="s">
        <v>842</v>
      </c>
      <c r="O77" s="38" t="s">
        <v>390</v>
      </c>
      <c r="P77" s="38" t="s">
        <v>842</v>
      </c>
      <c r="Q77" s="38" t="s">
        <v>1559</v>
      </c>
      <c r="R77" s="38"/>
      <c r="S77" s="38" t="s">
        <v>589</v>
      </c>
    </row>
    <row r="78" spans="1:19" ht="50.4" customHeight="1" x14ac:dyDescent="0.3">
      <c r="A78" s="47">
        <v>25285087</v>
      </c>
      <c r="B78" s="39">
        <v>46073</v>
      </c>
      <c r="C78" s="36" t="s">
        <v>1249</v>
      </c>
      <c r="D78" s="47">
        <v>25285087</v>
      </c>
      <c r="E78" s="38" t="s">
        <v>101</v>
      </c>
      <c r="F78" s="37" t="s">
        <v>1250</v>
      </c>
      <c r="G78" s="38">
        <v>3122079485</v>
      </c>
      <c r="H78" s="38">
        <v>5</v>
      </c>
      <c r="I78" s="38" t="s">
        <v>634</v>
      </c>
      <c r="J78" s="38" t="s">
        <v>635</v>
      </c>
      <c r="K78" s="38" t="s">
        <v>1228</v>
      </c>
      <c r="L78" s="38"/>
      <c r="M78" s="39"/>
      <c r="N78" s="38" t="s">
        <v>842</v>
      </c>
      <c r="O78" s="38" t="s">
        <v>390</v>
      </c>
      <c r="P78" s="38" t="s">
        <v>843</v>
      </c>
      <c r="Q78" s="38"/>
      <c r="R78" s="38"/>
      <c r="S78" s="38"/>
    </row>
    <row r="79" spans="1:19" ht="50.4" customHeight="1" x14ac:dyDescent="0.3">
      <c r="A79" s="47">
        <v>25289719</v>
      </c>
      <c r="B79" s="48">
        <v>46017</v>
      </c>
      <c r="C79" s="36" t="s">
        <v>179</v>
      </c>
      <c r="D79" s="47">
        <v>25289719</v>
      </c>
      <c r="E79" s="36" t="s">
        <v>101</v>
      </c>
      <c r="F79" s="37" t="s">
        <v>180</v>
      </c>
      <c r="G79" s="36">
        <v>3135211656</v>
      </c>
      <c r="H79" s="36">
        <v>5</v>
      </c>
      <c r="I79" s="38" t="s">
        <v>634</v>
      </c>
      <c r="J79" s="38" t="s">
        <v>671</v>
      </c>
      <c r="K79" s="36" t="s">
        <v>242</v>
      </c>
      <c r="L79" s="36"/>
      <c r="M79" s="39">
        <v>46035</v>
      </c>
      <c r="N79" s="38" t="s">
        <v>842</v>
      </c>
      <c r="O79" s="38" t="s">
        <v>390</v>
      </c>
      <c r="P79" s="38" t="s">
        <v>842</v>
      </c>
      <c r="Q79" s="38" t="s">
        <v>1559</v>
      </c>
      <c r="R79" s="38"/>
      <c r="S79" s="38" t="s">
        <v>242</v>
      </c>
    </row>
    <row r="80" spans="1:19" ht="50.4" hidden="1" customHeight="1" x14ac:dyDescent="0.3">
      <c r="A80" s="47">
        <v>25291032</v>
      </c>
      <c r="B80" s="39">
        <v>46038</v>
      </c>
      <c r="C80" s="36" t="s">
        <v>360</v>
      </c>
      <c r="D80" s="47">
        <v>25291032</v>
      </c>
      <c r="E80" s="36" t="s">
        <v>384</v>
      </c>
      <c r="F80" s="37" t="s">
        <v>395</v>
      </c>
      <c r="G80" s="41">
        <v>3225565393</v>
      </c>
      <c r="H80" s="41">
        <v>5</v>
      </c>
      <c r="I80" s="38" t="s">
        <v>645</v>
      </c>
      <c r="J80" s="38" t="s">
        <v>664</v>
      </c>
      <c r="K80" s="38" t="s">
        <v>363</v>
      </c>
      <c r="L80" s="36" t="s">
        <v>256</v>
      </c>
      <c r="M80" s="39">
        <v>46043</v>
      </c>
      <c r="N80" s="38" t="s">
        <v>842</v>
      </c>
      <c r="O80" s="38" t="s">
        <v>380</v>
      </c>
      <c r="P80" s="38" t="s">
        <v>843</v>
      </c>
      <c r="Q80" s="38" t="s">
        <v>1561</v>
      </c>
      <c r="R80" s="38"/>
      <c r="S80" s="38" t="s">
        <v>363</v>
      </c>
    </row>
    <row r="81" spans="1:19" ht="50.4" customHeight="1" x14ac:dyDescent="0.3">
      <c r="A81" s="47">
        <v>25786528</v>
      </c>
      <c r="B81" s="39">
        <v>46097</v>
      </c>
      <c r="C81" s="38" t="s">
        <v>1425</v>
      </c>
      <c r="D81" s="47">
        <v>25786528</v>
      </c>
      <c r="E81" s="38" t="s">
        <v>349</v>
      </c>
      <c r="F81" s="37" t="s">
        <v>1458</v>
      </c>
      <c r="G81" s="38">
        <v>3013775664</v>
      </c>
      <c r="H81" s="38">
        <v>1</v>
      </c>
      <c r="I81" s="38" t="s">
        <v>641</v>
      </c>
      <c r="J81" s="38" t="e">
        <v>#REF!</v>
      </c>
      <c r="K81" s="38" t="s">
        <v>1418</v>
      </c>
      <c r="L81" s="38"/>
      <c r="M81" s="39"/>
      <c r="N81" s="38" t="s">
        <v>842</v>
      </c>
      <c r="O81" s="38" t="s">
        <v>390</v>
      </c>
      <c r="P81" s="38" t="s">
        <v>843</v>
      </c>
      <c r="Q81" s="38"/>
      <c r="R81" s="38"/>
      <c r="S81" s="38"/>
    </row>
    <row r="82" spans="1:19" ht="50.4" customHeight="1" x14ac:dyDescent="0.3">
      <c r="A82" s="47">
        <v>25913417</v>
      </c>
      <c r="B82" s="39">
        <v>46045</v>
      </c>
      <c r="C82" s="36" t="s">
        <v>617</v>
      </c>
      <c r="D82" s="47">
        <v>25913417</v>
      </c>
      <c r="E82" s="36" t="s">
        <v>349</v>
      </c>
      <c r="F82" s="37" t="s">
        <v>594</v>
      </c>
      <c r="G82" s="38">
        <v>3008538716</v>
      </c>
      <c r="H82" s="38">
        <v>1</v>
      </c>
      <c r="I82" s="38" t="s">
        <v>641</v>
      </c>
      <c r="J82" s="38" t="s">
        <v>984</v>
      </c>
      <c r="K82" s="38" t="s">
        <v>589</v>
      </c>
      <c r="L82" s="38"/>
      <c r="M82" s="39">
        <v>46049</v>
      </c>
      <c r="N82" s="38" t="s">
        <v>842</v>
      </c>
      <c r="O82" s="38" t="s">
        <v>390</v>
      </c>
      <c r="P82" s="38" t="s">
        <v>842</v>
      </c>
      <c r="Q82" s="38" t="s">
        <v>1559</v>
      </c>
      <c r="R82" s="38"/>
      <c r="S82" s="38" t="s">
        <v>589</v>
      </c>
    </row>
    <row r="83" spans="1:19" ht="50.4" customHeight="1" x14ac:dyDescent="0.2">
      <c r="A83" s="47">
        <v>25914912</v>
      </c>
      <c r="B83" s="39">
        <v>46097</v>
      </c>
      <c r="C83" s="38" t="s">
        <v>1529</v>
      </c>
      <c r="D83" s="47">
        <v>25914912</v>
      </c>
      <c r="E83" s="38" t="s">
        <v>349</v>
      </c>
      <c r="F83" s="37" t="s">
        <v>1410</v>
      </c>
      <c r="G83" s="38">
        <v>3008760973</v>
      </c>
      <c r="H83" s="38">
        <v>5</v>
      </c>
      <c r="I83" s="38" t="s">
        <v>657</v>
      </c>
      <c r="J83" s="38" t="e">
        <v>#REF!</v>
      </c>
      <c r="K83" s="54"/>
      <c r="L83" s="38" t="s">
        <v>1416</v>
      </c>
      <c r="M83" s="39"/>
      <c r="N83" s="38" t="s">
        <v>843</v>
      </c>
      <c r="O83" s="38" t="s">
        <v>390</v>
      </c>
      <c r="P83" s="38" t="s">
        <v>843</v>
      </c>
      <c r="Q83" s="38"/>
      <c r="R83" s="38"/>
      <c r="S83" s="38"/>
    </row>
    <row r="84" spans="1:19" ht="50.4" customHeight="1" x14ac:dyDescent="0.3">
      <c r="A84" s="47">
        <v>26424757</v>
      </c>
      <c r="B84" s="39">
        <v>46073</v>
      </c>
      <c r="C84" s="36" t="s">
        <v>1355</v>
      </c>
      <c r="D84" s="47">
        <v>26424757</v>
      </c>
      <c r="E84" s="38" t="s">
        <v>101</v>
      </c>
      <c r="F84" s="37" t="s">
        <v>1358</v>
      </c>
      <c r="G84" s="38">
        <v>3158094982</v>
      </c>
      <c r="H84" s="38">
        <v>4</v>
      </c>
      <c r="I84" s="38" t="s">
        <v>661</v>
      </c>
      <c r="J84" s="38" t="s">
        <v>662</v>
      </c>
      <c r="K84" s="38" t="s">
        <v>1359</v>
      </c>
      <c r="L84" s="38"/>
      <c r="M84" s="39"/>
      <c r="N84" s="38" t="s">
        <v>842</v>
      </c>
      <c r="O84" s="38" t="s">
        <v>390</v>
      </c>
      <c r="P84" s="38" t="s">
        <v>843</v>
      </c>
      <c r="Q84" s="38"/>
      <c r="R84" s="38"/>
      <c r="S84" s="38"/>
    </row>
    <row r="85" spans="1:19" ht="50.4" customHeight="1" x14ac:dyDescent="0.3">
      <c r="A85" s="47">
        <v>26433136</v>
      </c>
      <c r="B85" s="39">
        <v>46066</v>
      </c>
      <c r="C85" s="36" t="s">
        <v>1266</v>
      </c>
      <c r="D85" s="47">
        <v>26433136</v>
      </c>
      <c r="E85" s="38" t="s">
        <v>101</v>
      </c>
      <c r="F85" s="37" t="s">
        <v>1267</v>
      </c>
      <c r="G85" s="38" t="s">
        <v>1268</v>
      </c>
      <c r="H85" s="38">
        <v>4</v>
      </c>
      <c r="I85" s="38" t="s">
        <v>661</v>
      </c>
      <c r="J85" s="38" t="s">
        <v>662</v>
      </c>
      <c r="K85" s="38" t="s">
        <v>1228</v>
      </c>
      <c r="L85" s="38"/>
      <c r="M85" s="39">
        <v>46076</v>
      </c>
      <c r="N85" s="38" t="s">
        <v>842</v>
      </c>
      <c r="O85" s="38" t="s">
        <v>390</v>
      </c>
      <c r="P85" s="38" t="s">
        <v>1555</v>
      </c>
      <c r="Q85" s="38" t="s">
        <v>1561</v>
      </c>
      <c r="R85" s="38"/>
      <c r="S85" s="38"/>
    </row>
    <row r="86" spans="1:19" ht="50.4" customHeight="1" x14ac:dyDescent="0.3">
      <c r="A86" s="47">
        <v>26460672</v>
      </c>
      <c r="B86" s="39">
        <v>46073</v>
      </c>
      <c r="C86" s="36" t="s">
        <v>1278</v>
      </c>
      <c r="D86" s="47">
        <v>26460672</v>
      </c>
      <c r="E86" s="38" t="s">
        <v>101</v>
      </c>
      <c r="F86" s="37" t="s">
        <v>1279</v>
      </c>
      <c r="G86" s="38">
        <v>3157209469</v>
      </c>
      <c r="H86" s="38">
        <v>4</v>
      </c>
      <c r="I86" s="38" t="s">
        <v>661</v>
      </c>
      <c r="J86" s="38" t="s">
        <v>662</v>
      </c>
      <c r="K86" s="38" t="s">
        <v>1228</v>
      </c>
      <c r="L86" s="38"/>
      <c r="M86" s="39"/>
      <c r="N86" s="38" t="s">
        <v>842</v>
      </c>
      <c r="O86" s="38" t="s">
        <v>390</v>
      </c>
      <c r="P86" s="38" t="s">
        <v>843</v>
      </c>
      <c r="Q86" s="38"/>
      <c r="R86" s="38"/>
      <c r="S86" s="38"/>
    </row>
    <row r="87" spans="1:19" ht="50.4" customHeight="1" x14ac:dyDescent="0.3">
      <c r="A87" s="47">
        <v>26470893</v>
      </c>
      <c r="B87" s="39">
        <v>46056</v>
      </c>
      <c r="C87" s="36" t="s">
        <v>884</v>
      </c>
      <c r="D87" s="47">
        <v>26470893</v>
      </c>
      <c r="E87" s="38" t="s">
        <v>101</v>
      </c>
      <c r="F87" s="37" t="s">
        <v>903</v>
      </c>
      <c r="G87" s="38">
        <v>3152636759</v>
      </c>
      <c r="H87" s="38">
        <v>1</v>
      </c>
      <c r="I87" s="38" t="s">
        <v>661</v>
      </c>
      <c r="J87" s="38" t="s">
        <v>917</v>
      </c>
      <c r="K87" s="38" t="s">
        <v>870</v>
      </c>
      <c r="L87" s="38"/>
      <c r="M87" s="39">
        <v>46062</v>
      </c>
      <c r="N87" s="38" t="s">
        <v>842</v>
      </c>
      <c r="O87" s="38" t="s">
        <v>390</v>
      </c>
      <c r="P87" s="38" t="s">
        <v>843</v>
      </c>
      <c r="Q87" s="38" t="s">
        <v>1561</v>
      </c>
      <c r="R87" s="38"/>
      <c r="S87" s="38"/>
    </row>
    <row r="88" spans="1:19" ht="50.4" customHeight="1" x14ac:dyDescent="0.3">
      <c r="A88" s="47">
        <v>26515893</v>
      </c>
      <c r="B88" s="39">
        <v>46073</v>
      </c>
      <c r="C88" s="36" t="s">
        <v>1280</v>
      </c>
      <c r="D88" s="47">
        <v>26515893</v>
      </c>
      <c r="E88" s="38" t="s">
        <v>101</v>
      </c>
      <c r="F88" s="37" t="s">
        <v>1281</v>
      </c>
      <c r="G88" s="38">
        <v>3184647995</v>
      </c>
      <c r="H88" s="38">
        <v>4</v>
      </c>
      <c r="I88" s="38" t="s">
        <v>661</v>
      </c>
      <c r="J88" s="38" t="s">
        <v>1298</v>
      </c>
      <c r="K88" s="38" t="s">
        <v>1228</v>
      </c>
      <c r="L88" s="38"/>
      <c r="M88" s="39">
        <v>46076</v>
      </c>
      <c r="N88" s="38" t="s">
        <v>842</v>
      </c>
      <c r="O88" s="38" t="s">
        <v>390</v>
      </c>
      <c r="P88" s="38" t="s">
        <v>1555</v>
      </c>
      <c r="Q88" s="38" t="s">
        <v>1561</v>
      </c>
      <c r="R88" s="38"/>
      <c r="S88" s="38"/>
    </row>
    <row r="89" spans="1:19" ht="50.4" customHeight="1" x14ac:dyDescent="0.3">
      <c r="A89" s="47">
        <v>26529489</v>
      </c>
      <c r="B89" s="39">
        <v>46045</v>
      </c>
      <c r="C89" s="36" t="s">
        <v>595</v>
      </c>
      <c r="D89" s="47">
        <v>26529489</v>
      </c>
      <c r="E89" s="36" t="s">
        <v>101</v>
      </c>
      <c r="F89" s="37" t="s">
        <v>596</v>
      </c>
      <c r="G89" s="38">
        <v>3214438747</v>
      </c>
      <c r="H89" s="38">
        <v>4</v>
      </c>
      <c r="I89" s="38" t="s">
        <v>661</v>
      </c>
      <c r="J89" s="38" t="s">
        <v>662</v>
      </c>
      <c r="K89" s="38" t="s">
        <v>589</v>
      </c>
      <c r="L89" s="38"/>
      <c r="M89" s="39">
        <v>46049</v>
      </c>
      <c r="N89" s="38" t="s">
        <v>842</v>
      </c>
      <c r="O89" s="38" t="s">
        <v>390</v>
      </c>
      <c r="P89" s="38" t="s">
        <v>842</v>
      </c>
      <c r="Q89" s="38" t="s">
        <v>1559</v>
      </c>
      <c r="R89" s="38"/>
      <c r="S89" s="38" t="s">
        <v>589</v>
      </c>
    </row>
    <row r="90" spans="1:19" ht="50.4" customHeight="1" x14ac:dyDescent="0.3">
      <c r="A90" s="47">
        <v>26607521</v>
      </c>
      <c r="B90" s="39">
        <v>46066</v>
      </c>
      <c r="C90" s="36" t="s">
        <v>1304</v>
      </c>
      <c r="D90" s="47">
        <v>26607521</v>
      </c>
      <c r="E90" s="38" t="s">
        <v>101</v>
      </c>
      <c r="F90" s="37" t="s">
        <v>1313</v>
      </c>
      <c r="G90" s="38">
        <v>3118300584</v>
      </c>
      <c r="H90" s="38">
        <v>4</v>
      </c>
      <c r="I90" s="38" t="s">
        <v>661</v>
      </c>
      <c r="J90" s="38" t="s">
        <v>1324</v>
      </c>
      <c r="K90" s="38" t="s">
        <v>1524</v>
      </c>
      <c r="L90" s="38"/>
      <c r="M90" s="39"/>
      <c r="N90" s="38" t="s">
        <v>842</v>
      </c>
      <c r="O90" s="38" t="s">
        <v>390</v>
      </c>
      <c r="P90" s="38" t="s">
        <v>843</v>
      </c>
      <c r="Q90" s="38"/>
      <c r="R90" s="38"/>
      <c r="S90" s="38"/>
    </row>
    <row r="91" spans="1:19" ht="50.4" customHeight="1" x14ac:dyDescent="0.3">
      <c r="A91" s="47">
        <v>26918987</v>
      </c>
      <c r="B91" s="39">
        <v>46066</v>
      </c>
      <c r="C91" s="36" t="s">
        <v>1157</v>
      </c>
      <c r="D91" s="47">
        <v>26918987</v>
      </c>
      <c r="E91" s="38" t="s">
        <v>349</v>
      </c>
      <c r="F91" s="37" t="s">
        <v>1158</v>
      </c>
      <c r="G91" s="38">
        <v>3205265250</v>
      </c>
      <c r="H91" s="38">
        <v>1</v>
      </c>
      <c r="I91" s="38" t="s">
        <v>638</v>
      </c>
      <c r="J91" s="38" t="e">
        <v>#REF!</v>
      </c>
      <c r="K91" s="38" t="s">
        <v>1152</v>
      </c>
      <c r="L91" s="38"/>
      <c r="M91" s="39">
        <v>46076</v>
      </c>
      <c r="N91" s="38" t="s">
        <v>842</v>
      </c>
      <c r="O91" s="38" t="s">
        <v>390</v>
      </c>
      <c r="P91" s="38" t="s">
        <v>1555</v>
      </c>
      <c r="Q91" s="38" t="s">
        <v>1561</v>
      </c>
      <c r="R91" s="38"/>
      <c r="S91" s="38"/>
    </row>
    <row r="92" spans="1:19" ht="50.4" customHeight="1" x14ac:dyDescent="0.3">
      <c r="A92" s="47">
        <v>27227914</v>
      </c>
      <c r="B92" s="39">
        <v>46073</v>
      </c>
      <c r="C92" s="36" t="s">
        <v>1243</v>
      </c>
      <c r="D92" s="47">
        <v>27227914</v>
      </c>
      <c r="E92" s="38" t="s">
        <v>101</v>
      </c>
      <c r="F92" s="37" t="s">
        <v>1244</v>
      </c>
      <c r="G92" s="38">
        <v>3166279679</v>
      </c>
      <c r="H92" s="38">
        <v>5</v>
      </c>
      <c r="I92" s="38" t="s">
        <v>645</v>
      </c>
      <c r="J92" s="38" t="s">
        <v>1122</v>
      </c>
      <c r="K92" s="38" t="s">
        <v>1228</v>
      </c>
      <c r="L92" s="38"/>
      <c r="M92" s="39">
        <v>46076</v>
      </c>
      <c r="N92" s="38" t="s">
        <v>842</v>
      </c>
      <c r="O92" s="38" t="s">
        <v>390</v>
      </c>
      <c r="P92" s="38" t="s">
        <v>1555</v>
      </c>
      <c r="Q92" s="38" t="s">
        <v>1561</v>
      </c>
      <c r="R92" s="38"/>
      <c r="S92" s="38"/>
    </row>
    <row r="93" spans="1:19" ht="50.4" customHeight="1" x14ac:dyDescent="0.3">
      <c r="A93" s="47">
        <v>27697036</v>
      </c>
      <c r="B93" s="39">
        <v>46106</v>
      </c>
      <c r="C93" s="36" t="s">
        <v>1498</v>
      </c>
      <c r="D93" s="47">
        <v>27697036</v>
      </c>
      <c r="E93" s="38" t="s">
        <v>101</v>
      </c>
      <c r="F93" s="37" t="s">
        <v>1350</v>
      </c>
      <c r="G93" s="38" t="s">
        <v>1516</v>
      </c>
      <c r="H93" s="38">
        <v>3</v>
      </c>
      <c r="I93" s="38" t="s">
        <v>676</v>
      </c>
      <c r="J93" s="38" t="s">
        <v>986</v>
      </c>
      <c r="K93" s="38" t="s">
        <v>1523</v>
      </c>
      <c r="L93" s="38"/>
      <c r="M93" s="39"/>
      <c r="N93" s="38" t="s">
        <v>842</v>
      </c>
      <c r="O93" s="38" t="s">
        <v>390</v>
      </c>
      <c r="P93" s="38" t="s">
        <v>843</v>
      </c>
      <c r="Q93" s="38"/>
      <c r="R93" s="38"/>
      <c r="S93" s="38"/>
    </row>
    <row r="94" spans="1:19" ht="50.4" customHeight="1" x14ac:dyDescent="0.3">
      <c r="A94" s="47">
        <v>28070162</v>
      </c>
      <c r="B94" s="39">
        <v>46038</v>
      </c>
      <c r="C94" s="36" t="s">
        <v>356</v>
      </c>
      <c r="D94" s="47">
        <v>28070162</v>
      </c>
      <c r="E94" s="36" t="s">
        <v>101</v>
      </c>
      <c r="F94" s="37" t="s">
        <v>371</v>
      </c>
      <c r="G94" s="38" t="s">
        <v>673</v>
      </c>
      <c r="H94" s="38">
        <v>3</v>
      </c>
      <c r="I94" s="38" t="s">
        <v>632</v>
      </c>
      <c r="J94" s="38" t="s">
        <v>672</v>
      </c>
      <c r="K94" s="38" t="s">
        <v>363</v>
      </c>
      <c r="L94" s="38"/>
      <c r="M94" s="39">
        <v>46043</v>
      </c>
      <c r="N94" s="38" t="s">
        <v>842</v>
      </c>
      <c r="O94" s="38" t="s">
        <v>390</v>
      </c>
      <c r="P94" s="38" t="s">
        <v>842</v>
      </c>
      <c r="Q94" s="38" t="s">
        <v>1559</v>
      </c>
      <c r="R94" s="38"/>
      <c r="S94" s="38" t="s">
        <v>363</v>
      </c>
    </row>
    <row r="95" spans="1:19" ht="50.4" hidden="1" customHeight="1" x14ac:dyDescent="0.3">
      <c r="A95" s="47">
        <v>28556566</v>
      </c>
      <c r="B95" s="50">
        <v>46029</v>
      </c>
      <c r="C95" s="36" t="s">
        <v>36</v>
      </c>
      <c r="D95" s="47">
        <v>28556566</v>
      </c>
      <c r="E95" s="36" t="s">
        <v>383</v>
      </c>
      <c r="F95" s="37" t="s">
        <v>37</v>
      </c>
      <c r="G95" s="36" t="s">
        <v>38</v>
      </c>
      <c r="H95" s="36">
        <v>2</v>
      </c>
      <c r="I95" s="38" t="s">
        <v>631</v>
      </c>
      <c r="J95" s="38" t="s">
        <v>631</v>
      </c>
      <c r="K95" s="36" t="s">
        <v>258</v>
      </c>
      <c r="L95" s="36"/>
      <c r="M95" s="39">
        <v>46035</v>
      </c>
      <c r="N95" s="38" t="s">
        <v>842</v>
      </c>
      <c r="O95" s="38" t="s">
        <v>380</v>
      </c>
      <c r="P95" s="38" t="s">
        <v>842</v>
      </c>
      <c r="Q95" s="38" t="s">
        <v>1559</v>
      </c>
      <c r="R95" s="38"/>
      <c r="S95" s="38" t="s">
        <v>258</v>
      </c>
    </row>
    <row r="96" spans="1:19" ht="50.4" customHeight="1" x14ac:dyDescent="0.2">
      <c r="A96" s="47">
        <v>28951480</v>
      </c>
      <c r="B96" s="48">
        <v>46045</v>
      </c>
      <c r="C96" s="36" t="s">
        <v>730</v>
      </c>
      <c r="D96" s="47">
        <v>28951480</v>
      </c>
      <c r="E96" s="36" t="s">
        <v>101</v>
      </c>
      <c r="F96" s="37" t="s">
        <v>731</v>
      </c>
      <c r="G96" s="36">
        <v>3123599815</v>
      </c>
      <c r="H96" s="52">
        <v>2</v>
      </c>
      <c r="I96" s="38" t="s">
        <v>665</v>
      </c>
      <c r="J96" s="38" t="s">
        <v>666</v>
      </c>
      <c r="K96" s="52" t="s">
        <v>835</v>
      </c>
      <c r="L96" s="52"/>
      <c r="M96" s="39">
        <v>46062</v>
      </c>
      <c r="N96" s="38" t="s">
        <v>842</v>
      </c>
      <c r="O96" s="38" t="s">
        <v>390</v>
      </c>
      <c r="P96" s="38" t="s">
        <v>843</v>
      </c>
      <c r="Q96" s="38" t="s">
        <v>1560</v>
      </c>
      <c r="R96" s="38"/>
      <c r="S96" s="38" t="s">
        <v>835</v>
      </c>
    </row>
    <row r="97" spans="1:19" ht="50.4" customHeight="1" x14ac:dyDescent="0.3">
      <c r="A97" s="47">
        <v>28979122</v>
      </c>
      <c r="B97" s="39">
        <v>46038</v>
      </c>
      <c r="C97" s="36" t="s">
        <v>352</v>
      </c>
      <c r="D97" s="47">
        <v>28979122</v>
      </c>
      <c r="E97" s="36" t="s">
        <v>101</v>
      </c>
      <c r="F97" s="37" t="s">
        <v>372</v>
      </c>
      <c r="G97" s="38">
        <v>3176431182</v>
      </c>
      <c r="H97" s="38">
        <v>2</v>
      </c>
      <c r="I97" s="38" t="s">
        <v>665</v>
      </c>
      <c r="J97" s="38" t="s">
        <v>666</v>
      </c>
      <c r="K97" s="38" t="s">
        <v>363</v>
      </c>
      <c r="L97" s="38"/>
      <c r="M97" s="39">
        <v>46043</v>
      </c>
      <c r="N97" s="38" t="s">
        <v>842</v>
      </c>
      <c r="O97" s="38" t="s">
        <v>390</v>
      </c>
      <c r="P97" s="38" t="s">
        <v>842</v>
      </c>
      <c r="Q97" s="38" t="s">
        <v>1559</v>
      </c>
      <c r="R97" s="38"/>
      <c r="S97" s="38" t="s">
        <v>363</v>
      </c>
    </row>
    <row r="98" spans="1:19" ht="50.4" customHeight="1" x14ac:dyDescent="0.3">
      <c r="A98" s="47">
        <v>30937317</v>
      </c>
      <c r="B98" s="39">
        <v>46038</v>
      </c>
      <c r="C98" s="36" t="s">
        <v>548</v>
      </c>
      <c r="D98" s="47">
        <v>30937317</v>
      </c>
      <c r="E98" s="36" t="s">
        <v>349</v>
      </c>
      <c r="F98" s="37" t="s">
        <v>473</v>
      </c>
      <c r="G98" s="38" t="s">
        <v>474</v>
      </c>
      <c r="H98" s="38">
        <v>4</v>
      </c>
      <c r="I98" s="38" t="s">
        <v>972</v>
      </c>
      <c r="J98" s="38" t="s">
        <v>973</v>
      </c>
      <c r="K98" s="38" t="s">
        <v>469</v>
      </c>
      <c r="L98" s="38"/>
      <c r="M98" s="39">
        <v>46043</v>
      </c>
      <c r="N98" s="38" t="s">
        <v>842</v>
      </c>
      <c r="O98" s="38" t="s">
        <v>390</v>
      </c>
      <c r="P98" s="38" t="s">
        <v>842</v>
      </c>
      <c r="Q98" s="38" t="s">
        <v>1559</v>
      </c>
      <c r="R98" s="38"/>
      <c r="S98" s="38" t="s">
        <v>469</v>
      </c>
    </row>
    <row r="99" spans="1:19" ht="50.4" customHeight="1" x14ac:dyDescent="0.3">
      <c r="A99" s="47">
        <v>31428969</v>
      </c>
      <c r="B99" s="39">
        <v>46073</v>
      </c>
      <c r="C99" s="36" t="s">
        <v>1233</v>
      </c>
      <c r="D99" s="47">
        <v>31428969</v>
      </c>
      <c r="E99" s="38" t="s">
        <v>101</v>
      </c>
      <c r="F99" s="37" t="s">
        <v>1234</v>
      </c>
      <c r="G99" s="38">
        <v>3113472192</v>
      </c>
      <c r="H99" s="38">
        <v>5</v>
      </c>
      <c r="I99" s="38" t="s">
        <v>652</v>
      </c>
      <c r="J99" s="38" t="s">
        <v>1294</v>
      </c>
      <c r="K99" s="38" t="s">
        <v>1228</v>
      </c>
      <c r="L99" s="38"/>
      <c r="M99" s="39">
        <v>46076</v>
      </c>
      <c r="N99" s="38" t="s">
        <v>842</v>
      </c>
      <c r="O99" s="38" t="s">
        <v>390</v>
      </c>
      <c r="P99" s="38" t="s">
        <v>1555</v>
      </c>
      <c r="Q99" s="38" t="s">
        <v>1561</v>
      </c>
      <c r="R99" s="38"/>
      <c r="S99" s="38"/>
    </row>
    <row r="100" spans="1:19" ht="50.4" customHeight="1" x14ac:dyDescent="0.3">
      <c r="A100" s="47">
        <v>31446351</v>
      </c>
      <c r="B100" s="39">
        <v>46073</v>
      </c>
      <c r="C100" s="36" t="s">
        <v>1226</v>
      </c>
      <c r="D100" s="47">
        <v>31446351</v>
      </c>
      <c r="E100" s="38" t="s">
        <v>349</v>
      </c>
      <c r="F100" s="37" t="s">
        <v>1227</v>
      </c>
      <c r="G100" s="38">
        <v>3014582418</v>
      </c>
      <c r="H100" s="38">
        <v>4</v>
      </c>
      <c r="I100" s="38" t="s">
        <v>631</v>
      </c>
      <c r="J100" s="38" t="s">
        <v>631</v>
      </c>
      <c r="K100" s="38"/>
      <c r="L100" s="38" t="s">
        <v>1196</v>
      </c>
      <c r="M100" s="39">
        <v>46076</v>
      </c>
      <c r="N100" s="38" t="s">
        <v>843</v>
      </c>
      <c r="O100" s="38" t="s">
        <v>390</v>
      </c>
      <c r="P100" s="38" t="s">
        <v>1555</v>
      </c>
      <c r="Q100" s="38" t="s">
        <v>1558</v>
      </c>
      <c r="R100" s="38" t="s">
        <v>1593</v>
      </c>
      <c r="S100" s="38"/>
    </row>
    <row r="101" spans="1:19" ht="50.4" customHeight="1" x14ac:dyDescent="0.3">
      <c r="A101" s="47">
        <v>32109444</v>
      </c>
      <c r="B101" s="51">
        <v>46032</v>
      </c>
      <c r="C101" s="36" t="s">
        <v>274</v>
      </c>
      <c r="D101" s="47">
        <v>32109444</v>
      </c>
      <c r="E101" s="36" t="s">
        <v>101</v>
      </c>
      <c r="F101" s="37" t="s">
        <v>275</v>
      </c>
      <c r="G101" s="43">
        <v>3144870932</v>
      </c>
      <c r="H101" s="38">
        <v>5</v>
      </c>
      <c r="I101" s="38" t="s">
        <v>657</v>
      </c>
      <c r="J101" s="38" t="s">
        <v>674</v>
      </c>
      <c r="K101" s="38" t="s">
        <v>276</v>
      </c>
      <c r="L101" s="38"/>
      <c r="M101" s="39">
        <v>46039</v>
      </c>
      <c r="N101" s="38" t="s">
        <v>842</v>
      </c>
      <c r="O101" s="38" t="s">
        <v>390</v>
      </c>
      <c r="P101" s="38" t="s">
        <v>843</v>
      </c>
      <c r="Q101" s="38" t="s">
        <v>1560</v>
      </c>
      <c r="R101" s="38" t="s">
        <v>1568</v>
      </c>
      <c r="S101" s="38" t="s">
        <v>276</v>
      </c>
    </row>
    <row r="102" spans="1:19" ht="50.4" customHeight="1" x14ac:dyDescent="0.2">
      <c r="A102" s="47">
        <v>32202673</v>
      </c>
      <c r="B102" s="48">
        <v>46050</v>
      </c>
      <c r="C102" s="36" t="s">
        <v>995</v>
      </c>
      <c r="D102" s="47">
        <v>32202673</v>
      </c>
      <c r="E102" s="36" t="s">
        <v>349</v>
      </c>
      <c r="F102" s="37" t="s">
        <v>732</v>
      </c>
      <c r="G102" s="36">
        <v>3218567876</v>
      </c>
      <c r="H102" s="52">
        <v>5</v>
      </c>
      <c r="I102" s="38" t="s">
        <v>657</v>
      </c>
      <c r="J102" s="38" t="s">
        <v>979</v>
      </c>
      <c r="K102" s="52" t="s">
        <v>834</v>
      </c>
      <c r="L102" s="52"/>
      <c r="M102" s="39">
        <v>46062</v>
      </c>
      <c r="N102" s="38" t="s">
        <v>842</v>
      </c>
      <c r="O102" s="38" t="s">
        <v>390</v>
      </c>
      <c r="P102" s="38" t="s">
        <v>842</v>
      </c>
      <c r="Q102" s="38" t="s">
        <v>1559</v>
      </c>
      <c r="R102" s="38" t="s">
        <v>1580</v>
      </c>
      <c r="S102" s="38" t="s">
        <v>834</v>
      </c>
    </row>
    <row r="103" spans="1:19" ht="50.4" customHeight="1" x14ac:dyDescent="0.3">
      <c r="A103" s="47">
        <v>32739219</v>
      </c>
      <c r="B103" s="39">
        <v>46133</v>
      </c>
      <c r="C103" s="36" t="s">
        <v>1630</v>
      </c>
      <c r="D103" s="47">
        <v>32739219</v>
      </c>
      <c r="E103" s="38" t="s">
        <v>101</v>
      </c>
      <c r="F103" s="37" t="s">
        <v>1637</v>
      </c>
      <c r="G103" s="38">
        <v>3005677533</v>
      </c>
      <c r="H103" s="38">
        <v>1</v>
      </c>
      <c r="I103" s="38" t="s">
        <v>636</v>
      </c>
      <c r="J103" s="38" t="s">
        <v>637</v>
      </c>
      <c r="K103" s="38"/>
      <c r="L103" s="38" t="s">
        <v>1636</v>
      </c>
      <c r="M103" s="39"/>
      <c r="N103" s="38" t="s">
        <v>843</v>
      </c>
      <c r="O103" s="38" t="s">
        <v>390</v>
      </c>
      <c r="P103" s="38" t="s">
        <v>843</v>
      </c>
      <c r="Q103" s="38"/>
      <c r="R103" s="38"/>
      <c r="S103" s="38"/>
    </row>
    <row r="104" spans="1:19" ht="50.4" customHeight="1" x14ac:dyDescent="0.2">
      <c r="A104" s="47">
        <v>32890817</v>
      </c>
      <c r="B104" s="48">
        <v>46050</v>
      </c>
      <c r="C104" s="36" t="s">
        <v>733</v>
      </c>
      <c r="D104" s="47">
        <v>32890817</v>
      </c>
      <c r="E104" s="36" t="s">
        <v>349</v>
      </c>
      <c r="F104" s="37" t="s">
        <v>734</v>
      </c>
      <c r="G104" s="36">
        <v>3332283189</v>
      </c>
      <c r="H104" s="52">
        <v>1</v>
      </c>
      <c r="I104" s="38" t="s">
        <v>636</v>
      </c>
      <c r="J104" s="38" t="e">
        <v>#REF!</v>
      </c>
      <c r="K104" s="52"/>
      <c r="L104" s="52" t="s">
        <v>836</v>
      </c>
      <c r="M104" s="39">
        <v>46062</v>
      </c>
      <c r="N104" s="38" t="s">
        <v>843</v>
      </c>
      <c r="O104" s="38" t="s">
        <v>390</v>
      </c>
      <c r="P104" s="38" t="s">
        <v>843</v>
      </c>
      <c r="Q104" s="38" t="s">
        <v>1558</v>
      </c>
      <c r="R104" s="38"/>
      <c r="S104" s="38"/>
    </row>
    <row r="105" spans="1:19" ht="50.4" customHeight="1" x14ac:dyDescent="0.3">
      <c r="A105" s="47">
        <v>33480516</v>
      </c>
      <c r="B105" s="49">
        <v>46020</v>
      </c>
      <c r="C105" s="36" t="s">
        <v>106</v>
      </c>
      <c r="D105" s="47">
        <v>33480516</v>
      </c>
      <c r="E105" s="36" t="s">
        <v>101</v>
      </c>
      <c r="F105" s="37" t="s">
        <v>107</v>
      </c>
      <c r="G105" s="36">
        <v>3228984805</v>
      </c>
      <c r="H105" s="36">
        <v>3</v>
      </c>
      <c r="I105" s="38" t="s">
        <v>632</v>
      </c>
      <c r="J105" s="38" t="s">
        <v>674</v>
      </c>
      <c r="K105" s="36" t="s">
        <v>245</v>
      </c>
      <c r="L105" s="36"/>
      <c r="M105" s="39">
        <v>46035</v>
      </c>
      <c r="N105" s="38" t="s">
        <v>842</v>
      </c>
      <c r="O105" s="38" t="s">
        <v>390</v>
      </c>
      <c r="P105" s="38" t="s">
        <v>842</v>
      </c>
      <c r="Q105" s="38" t="s">
        <v>1559</v>
      </c>
      <c r="R105" s="38"/>
      <c r="S105" s="38" t="s">
        <v>245</v>
      </c>
    </row>
    <row r="106" spans="1:19" ht="50.4" customHeight="1" x14ac:dyDescent="0.3">
      <c r="A106" s="47">
        <v>33645219</v>
      </c>
      <c r="B106" s="39">
        <v>46097</v>
      </c>
      <c r="C106" s="38" t="s">
        <v>1443</v>
      </c>
      <c r="D106" s="47">
        <v>33645219</v>
      </c>
      <c r="E106" s="36" t="s">
        <v>101</v>
      </c>
      <c r="F106" s="37" t="s">
        <v>1480</v>
      </c>
      <c r="G106" s="38">
        <v>3214518163</v>
      </c>
      <c r="H106" s="38">
        <v>4</v>
      </c>
      <c r="I106" s="38" t="s">
        <v>653</v>
      </c>
      <c r="J106" s="38" t="e">
        <v>#REF!</v>
      </c>
      <c r="K106" s="38" t="s">
        <v>1418</v>
      </c>
      <c r="L106" s="38"/>
      <c r="M106" s="39"/>
      <c r="N106" s="38" t="s">
        <v>842</v>
      </c>
      <c r="O106" s="38" t="s">
        <v>390</v>
      </c>
      <c r="P106" s="38" t="s">
        <v>843</v>
      </c>
      <c r="Q106" s="38"/>
      <c r="R106" s="38"/>
      <c r="S106" s="38"/>
    </row>
    <row r="107" spans="1:19" ht="50.4" hidden="1" customHeight="1" x14ac:dyDescent="0.3">
      <c r="A107" s="47">
        <v>34318220</v>
      </c>
      <c r="B107" s="39">
        <v>46041</v>
      </c>
      <c r="C107" s="36" t="s">
        <v>574</v>
      </c>
      <c r="D107" s="47">
        <v>34318220</v>
      </c>
      <c r="E107" s="36" t="s">
        <v>261</v>
      </c>
      <c r="F107" s="37" t="s">
        <v>432</v>
      </c>
      <c r="G107" s="38">
        <v>3193892698</v>
      </c>
      <c r="H107" s="38">
        <v>5</v>
      </c>
      <c r="I107" s="38" t="s">
        <v>723</v>
      </c>
      <c r="J107" s="38" t="s">
        <v>635</v>
      </c>
      <c r="K107" s="38" t="s">
        <v>407</v>
      </c>
      <c r="L107" s="38"/>
      <c r="M107" s="39">
        <v>46049</v>
      </c>
      <c r="N107" s="38" t="s">
        <v>842</v>
      </c>
      <c r="O107" s="38" t="s">
        <v>380</v>
      </c>
      <c r="P107" s="38" t="s">
        <v>842</v>
      </c>
      <c r="Q107" s="38" t="s">
        <v>1559</v>
      </c>
      <c r="R107" s="38"/>
      <c r="S107" s="38" t="s">
        <v>407</v>
      </c>
    </row>
    <row r="108" spans="1:19" ht="50.4" customHeight="1" x14ac:dyDescent="0.3">
      <c r="A108" s="47">
        <v>34319984</v>
      </c>
      <c r="B108" s="39">
        <v>46041</v>
      </c>
      <c r="C108" s="36" t="s">
        <v>516</v>
      </c>
      <c r="D108" s="47">
        <v>34319984</v>
      </c>
      <c r="E108" s="36" t="s">
        <v>349</v>
      </c>
      <c r="F108" s="37" t="s">
        <v>517</v>
      </c>
      <c r="G108" s="38">
        <v>3208069598</v>
      </c>
      <c r="H108" s="38">
        <v>5</v>
      </c>
      <c r="I108" s="38" t="s">
        <v>723</v>
      </c>
      <c r="J108" s="38" t="s">
        <v>635</v>
      </c>
      <c r="K108" s="42"/>
      <c r="L108" s="38" t="s">
        <v>518</v>
      </c>
      <c r="M108" s="39">
        <v>46049</v>
      </c>
      <c r="N108" s="38" t="s">
        <v>843</v>
      </c>
      <c r="O108" s="38" t="s">
        <v>390</v>
      </c>
      <c r="P108" s="38" t="s">
        <v>843</v>
      </c>
      <c r="Q108" s="38" t="s">
        <v>1562</v>
      </c>
      <c r="R108" s="38"/>
      <c r="S108" s="38"/>
    </row>
    <row r="109" spans="1:19" ht="50.4" customHeight="1" x14ac:dyDescent="0.3">
      <c r="A109" s="47">
        <v>34325427</v>
      </c>
      <c r="B109" s="39">
        <v>46097</v>
      </c>
      <c r="C109" s="38" t="s">
        <v>1437</v>
      </c>
      <c r="D109" s="47">
        <v>34325427</v>
      </c>
      <c r="E109" s="38" t="s">
        <v>349</v>
      </c>
      <c r="F109" s="37" t="s">
        <v>1471</v>
      </c>
      <c r="G109" s="38">
        <v>3147320974</v>
      </c>
      <c r="H109" s="38">
        <v>5</v>
      </c>
      <c r="I109" s="38" t="s">
        <v>634</v>
      </c>
      <c r="J109" s="38" t="e">
        <v>#REF!</v>
      </c>
      <c r="K109" s="38" t="s">
        <v>1418</v>
      </c>
      <c r="L109" s="38"/>
      <c r="M109" s="39"/>
      <c r="N109" s="38" t="s">
        <v>842</v>
      </c>
      <c r="O109" s="38" t="s">
        <v>390</v>
      </c>
      <c r="P109" s="38" t="s">
        <v>843</v>
      </c>
      <c r="Q109" s="38"/>
      <c r="R109" s="38"/>
      <c r="S109" s="38"/>
    </row>
    <row r="110" spans="1:19" ht="50.4" customHeight="1" x14ac:dyDescent="0.2">
      <c r="A110" s="47">
        <v>34328959</v>
      </c>
      <c r="B110" s="48">
        <v>46050</v>
      </c>
      <c r="C110" s="36" t="s">
        <v>735</v>
      </c>
      <c r="D110" s="47">
        <v>34328959</v>
      </c>
      <c r="E110" s="36" t="s">
        <v>349</v>
      </c>
      <c r="F110" s="37" t="s">
        <v>736</v>
      </c>
      <c r="G110" s="36">
        <v>8357743</v>
      </c>
      <c r="H110" s="52">
        <v>5</v>
      </c>
      <c r="I110" s="38" t="s">
        <v>634</v>
      </c>
      <c r="J110" s="38" t="s">
        <v>635</v>
      </c>
      <c r="K110" s="52" t="s">
        <v>834</v>
      </c>
      <c r="L110" s="52"/>
      <c r="M110" s="39">
        <v>46062</v>
      </c>
      <c r="N110" s="38" t="s">
        <v>842</v>
      </c>
      <c r="O110" s="38" t="s">
        <v>390</v>
      </c>
      <c r="P110" s="38" t="s">
        <v>842</v>
      </c>
      <c r="Q110" s="38" t="s">
        <v>1559</v>
      </c>
      <c r="R110" s="38"/>
      <c r="S110" s="38" t="s">
        <v>834</v>
      </c>
    </row>
    <row r="111" spans="1:19" ht="50.4" customHeight="1" x14ac:dyDescent="0.2">
      <c r="A111" s="47"/>
      <c r="B111" s="39">
        <v>46161</v>
      </c>
      <c r="C111" s="53" t="s">
        <v>1722</v>
      </c>
      <c r="D111" s="53">
        <v>34426548</v>
      </c>
      <c r="E111" s="53" t="s">
        <v>1700</v>
      </c>
      <c r="F111" s="56" t="s">
        <v>1743</v>
      </c>
      <c r="G111" s="53" t="s">
        <v>1754</v>
      </c>
      <c r="H111" s="53">
        <v>2</v>
      </c>
      <c r="I111" s="38"/>
      <c r="J111" s="38"/>
      <c r="K111" s="57" t="s">
        <v>1760</v>
      </c>
      <c r="L111" s="38"/>
      <c r="M111" s="39">
        <v>46163</v>
      </c>
      <c r="N111" s="38" t="s">
        <v>1705</v>
      </c>
      <c r="O111" s="38"/>
      <c r="P111" s="38"/>
      <c r="Q111" s="38"/>
      <c r="R111" s="38"/>
      <c r="S111" s="38"/>
    </row>
    <row r="112" spans="1:19" ht="50.4" customHeight="1" x14ac:dyDescent="0.3">
      <c r="A112" s="47">
        <v>34568952</v>
      </c>
      <c r="B112" s="39">
        <v>46062</v>
      </c>
      <c r="C112" s="36" t="s">
        <v>1018</v>
      </c>
      <c r="D112" s="47">
        <v>34568952</v>
      </c>
      <c r="E112" s="38" t="s">
        <v>101</v>
      </c>
      <c r="F112" s="37" t="s">
        <v>1019</v>
      </c>
      <c r="G112" s="38" t="s">
        <v>1020</v>
      </c>
      <c r="H112" s="38">
        <v>5</v>
      </c>
      <c r="I112" s="38" t="s">
        <v>634</v>
      </c>
      <c r="J112" s="38" t="s">
        <v>1119</v>
      </c>
      <c r="K112" s="38" t="s">
        <v>1017</v>
      </c>
      <c r="L112" s="38"/>
      <c r="M112" s="39">
        <v>46072</v>
      </c>
      <c r="N112" s="38" t="s">
        <v>842</v>
      </c>
      <c r="O112" s="38" t="s">
        <v>390</v>
      </c>
      <c r="P112" s="38" t="s">
        <v>842</v>
      </c>
      <c r="Q112" s="38" t="s">
        <v>1559</v>
      </c>
      <c r="R112" s="38" t="s">
        <v>1585</v>
      </c>
      <c r="S112" s="38"/>
    </row>
    <row r="113" spans="1:19" ht="50.4" hidden="1" customHeight="1" x14ac:dyDescent="0.3">
      <c r="A113" s="47">
        <v>34672599</v>
      </c>
      <c r="B113" s="49">
        <v>46020</v>
      </c>
      <c r="C113" s="36" t="s">
        <v>162</v>
      </c>
      <c r="D113" s="47">
        <v>34672599</v>
      </c>
      <c r="E113" s="36" t="s">
        <v>389</v>
      </c>
      <c r="F113" s="37" t="s">
        <v>163</v>
      </c>
      <c r="G113" s="36">
        <v>3166936117</v>
      </c>
      <c r="H113" s="36">
        <v>5</v>
      </c>
      <c r="I113" s="38" t="s">
        <v>634</v>
      </c>
      <c r="J113" s="38" t="s">
        <v>635</v>
      </c>
      <c r="K113" s="36" t="s">
        <v>245</v>
      </c>
      <c r="L113" s="36"/>
      <c r="M113" s="39">
        <v>46035</v>
      </c>
      <c r="N113" s="38" t="s">
        <v>842</v>
      </c>
      <c r="O113" s="38" t="s">
        <v>390</v>
      </c>
      <c r="P113" s="38" t="s">
        <v>843</v>
      </c>
      <c r="Q113" s="38" t="s">
        <v>1561</v>
      </c>
      <c r="R113" s="38"/>
      <c r="S113" s="38" t="s">
        <v>245</v>
      </c>
    </row>
    <row r="114" spans="1:19" ht="50.4" hidden="1" customHeight="1" x14ac:dyDescent="0.3">
      <c r="A114" s="47">
        <v>35377807</v>
      </c>
      <c r="B114" s="50" t="s">
        <v>1405</v>
      </c>
      <c r="C114" s="36" t="s">
        <v>61</v>
      </c>
      <c r="D114" s="47">
        <v>35377807</v>
      </c>
      <c r="E114" s="36" t="s">
        <v>384</v>
      </c>
      <c r="F114" s="37" t="s">
        <v>62</v>
      </c>
      <c r="G114" s="36">
        <v>3045116112</v>
      </c>
      <c r="H114" s="36">
        <v>2</v>
      </c>
      <c r="I114" s="38" t="s">
        <v>647</v>
      </c>
      <c r="J114" s="38" t="s">
        <v>974</v>
      </c>
      <c r="K114" s="40" t="s">
        <v>1404</v>
      </c>
      <c r="L114" s="36" t="s">
        <v>941</v>
      </c>
      <c r="M114" s="39">
        <v>46035</v>
      </c>
      <c r="N114" s="38" t="s">
        <v>842</v>
      </c>
      <c r="O114" s="38" t="s">
        <v>380</v>
      </c>
      <c r="P114" s="38" t="s">
        <v>1555</v>
      </c>
      <c r="Q114" s="38" t="s">
        <v>1558</v>
      </c>
      <c r="R114" s="38"/>
      <c r="S114" s="38"/>
    </row>
    <row r="115" spans="1:19" ht="50.4" customHeight="1" x14ac:dyDescent="0.3">
      <c r="A115" s="47">
        <v>35570118</v>
      </c>
      <c r="B115" s="51">
        <v>46032</v>
      </c>
      <c r="C115" s="36" t="s">
        <v>324</v>
      </c>
      <c r="D115" s="47">
        <v>35570118</v>
      </c>
      <c r="E115" s="36" t="s">
        <v>349</v>
      </c>
      <c r="F115" s="37" t="s">
        <v>325</v>
      </c>
      <c r="G115" s="38">
        <v>3216293417</v>
      </c>
      <c r="H115" s="38">
        <v>5</v>
      </c>
      <c r="I115" s="38" t="s">
        <v>640</v>
      </c>
      <c r="J115" s="38" t="s">
        <v>971</v>
      </c>
      <c r="K115" s="38" t="s">
        <v>315</v>
      </c>
      <c r="L115" s="38"/>
      <c r="M115" s="39"/>
      <c r="N115" s="38" t="s">
        <v>842</v>
      </c>
      <c r="O115" s="38" t="s">
        <v>390</v>
      </c>
      <c r="P115" s="38" t="s">
        <v>842</v>
      </c>
      <c r="Q115" s="38"/>
      <c r="R115" s="38"/>
      <c r="S115" s="38"/>
    </row>
    <row r="116" spans="1:19" ht="50.4" customHeight="1" x14ac:dyDescent="0.3">
      <c r="A116" s="47">
        <v>35892411</v>
      </c>
      <c r="B116" s="39">
        <v>46045</v>
      </c>
      <c r="C116" s="36" t="s">
        <v>618</v>
      </c>
      <c r="D116" s="47">
        <v>35892411</v>
      </c>
      <c r="E116" s="36" t="s">
        <v>349</v>
      </c>
      <c r="F116" s="37" t="s">
        <v>597</v>
      </c>
      <c r="G116" s="38">
        <v>3148080376</v>
      </c>
      <c r="H116" s="38">
        <v>5</v>
      </c>
      <c r="I116" s="38" t="s">
        <v>640</v>
      </c>
      <c r="J116" s="38" t="s">
        <v>971</v>
      </c>
      <c r="K116" s="38" t="s">
        <v>589</v>
      </c>
      <c r="L116" s="38"/>
      <c r="M116" s="39">
        <v>46049</v>
      </c>
      <c r="N116" s="38" t="s">
        <v>842</v>
      </c>
      <c r="O116" s="38" t="s">
        <v>390</v>
      </c>
      <c r="P116" s="38" t="s">
        <v>843</v>
      </c>
      <c r="Q116" s="38" t="s">
        <v>1561</v>
      </c>
      <c r="R116" s="38"/>
      <c r="S116" s="38" t="s">
        <v>589</v>
      </c>
    </row>
    <row r="117" spans="1:19" ht="50.4" customHeight="1" x14ac:dyDescent="0.3">
      <c r="A117" s="47">
        <v>35893653</v>
      </c>
      <c r="B117" s="39">
        <v>46056</v>
      </c>
      <c r="C117" s="36" t="s">
        <v>883</v>
      </c>
      <c r="D117" s="47">
        <v>35893653</v>
      </c>
      <c r="E117" s="38" t="s">
        <v>101</v>
      </c>
      <c r="F117" s="37" t="s">
        <v>902</v>
      </c>
      <c r="G117" s="38">
        <v>3207757239</v>
      </c>
      <c r="H117" s="38">
        <v>5</v>
      </c>
      <c r="I117" s="38" t="s">
        <v>640</v>
      </c>
      <c r="J117" s="38" t="s">
        <v>971</v>
      </c>
      <c r="K117" s="38" t="s">
        <v>870</v>
      </c>
      <c r="L117" s="38"/>
      <c r="M117" s="39">
        <v>46062</v>
      </c>
      <c r="N117" s="38" t="s">
        <v>842</v>
      </c>
      <c r="O117" s="38" t="s">
        <v>390</v>
      </c>
      <c r="P117" s="38" t="s">
        <v>843</v>
      </c>
      <c r="Q117" s="38" t="s">
        <v>1561</v>
      </c>
      <c r="R117" s="38"/>
      <c r="S117" s="38"/>
    </row>
    <row r="118" spans="1:19" ht="50.4" customHeight="1" x14ac:dyDescent="0.3">
      <c r="A118" s="47">
        <v>35896960</v>
      </c>
      <c r="B118" s="51">
        <v>46032</v>
      </c>
      <c r="C118" s="36" t="s">
        <v>316</v>
      </c>
      <c r="D118" s="47">
        <v>35896960</v>
      </c>
      <c r="E118" s="36" t="s">
        <v>349</v>
      </c>
      <c r="F118" s="37" t="s">
        <v>317</v>
      </c>
      <c r="G118" s="38">
        <v>3216405726</v>
      </c>
      <c r="H118" s="38">
        <v>5</v>
      </c>
      <c r="I118" s="38" t="s">
        <v>640</v>
      </c>
      <c r="J118" s="38" t="s">
        <v>971</v>
      </c>
      <c r="K118" s="38" t="s">
        <v>315</v>
      </c>
      <c r="L118" s="38"/>
      <c r="M118" s="39">
        <v>46039</v>
      </c>
      <c r="N118" s="38" t="s">
        <v>842</v>
      </c>
      <c r="O118" s="38" t="s">
        <v>390</v>
      </c>
      <c r="P118" s="38" t="s">
        <v>842</v>
      </c>
      <c r="Q118" s="38" t="s">
        <v>1559</v>
      </c>
      <c r="R118" s="38"/>
      <c r="S118" s="38" t="s">
        <v>315</v>
      </c>
    </row>
    <row r="119" spans="1:19" ht="50.4" customHeight="1" x14ac:dyDescent="0.3">
      <c r="A119" s="47">
        <v>35898964</v>
      </c>
      <c r="B119" s="39">
        <v>46066</v>
      </c>
      <c r="C119" s="36" t="s">
        <v>1172</v>
      </c>
      <c r="D119" s="47">
        <v>35898964</v>
      </c>
      <c r="E119" s="38" t="s">
        <v>349</v>
      </c>
      <c r="F119" s="37" t="s">
        <v>1173</v>
      </c>
      <c r="G119" s="38">
        <v>3117783700</v>
      </c>
      <c r="H119" s="38">
        <v>5</v>
      </c>
      <c r="I119" s="38" t="s">
        <v>640</v>
      </c>
      <c r="J119" s="38" t="s">
        <v>971</v>
      </c>
      <c r="K119" s="38" t="s">
        <v>1152</v>
      </c>
      <c r="L119" s="38"/>
      <c r="M119" s="39">
        <v>46076</v>
      </c>
      <c r="N119" s="38" t="s">
        <v>842</v>
      </c>
      <c r="O119" s="38" t="s">
        <v>390</v>
      </c>
      <c r="P119" s="38" t="s">
        <v>1555</v>
      </c>
      <c r="Q119" s="38" t="s">
        <v>1561</v>
      </c>
      <c r="R119" s="38"/>
      <c r="S119" s="38"/>
    </row>
    <row r="120" spans="1:19" ht="50.4" customHeight="1" x14ac:dyDescent="0.3">
      <c r="A120" s="47">
        <v>36067548</v>
      </c>
      <c r="B120" s="39">
        <v>46097</v>
      </c>
      <c r="C120" s="38" t="s">
        <v>1436</v>
      </c>
      <c r="D120" s="47">
        <v>36067548</v>
      </c>
      <c r="E120" s="38" t="s">
        <v>349</v>
      </c>
      <c r="F120" s="37" t="s">
        <v>1470</v>
      </c>
      <c r="G120" s="38">
        <v>3184674047</v>
      </c>
      <c r="H120" s="38">
        <v>4</v>
      </c>
      <c r="I120" s="38" t="s">
        <v>661</v>
      </c>
      <c r="J120" s="38" t="e">
        <v>#REF!</v>
      </c>
      <c r="K120" s="38" t="s">
        <v>1418</v>
      </c>
      <c r="L120" s="38"/>
      <c r="M120" s="39"/>
      <c r="N120" s="38" t="s">
        <v>842</v>
      </c>
      <c r="O120" s="38" t="s">
        <v>390</v>
      </c>
      <c r="P120" s="38" t="s">
        <v>843</v>
      </c>
      <c r="Q120" s="38"/>
      <c r="R120" s="38"/>
      <c r="S120" s="38"/>
    </row>
    <row r="121" spans="1:19" ht="50.4" customHeight="1" x14ac:dyDescent="0.3">
      <c r="A121" s="47">
        <v>36068609</v>
      </c>
      <c r="B121" s="39">
        <v>46073</v>
      </c>
      <c r="C121" s="36" t="s">
        <v>1333</v>
      </c>
      <c r="D121" s="47">
        <v>36068609</v>
      </c>
      <c r="E121" s="38" t="s">
        <v>101</v>
      </c>
      <c r="F121" s="37" t="s">
        <v>1343</v>
      </c>
      <c r="G121" s="38">
        <v>3115558024</v>
      </c>
      <c r="H121" s="38">
        <v>4</v>
      </c>
      <c r="I121" s="38" t="s">
        <v>661</v>
      </c>
      <c r="J121" s="38" t="s">
        <v>662</v>
      </c>
      <c r="K121" s="38" t="s">
        <v>1335</v>
      </c>
      <c r="L121" s="38"/>
      <c r="M121" s="39"/>
      <c r="N121" s="38" t="s">
        <v>842</v>
      </c>
      <c r="O121" s="38" t="s">
        <v>390</v>
      </c>
      <c r="P121" s="38" t="s">
        <v>843</v>
      </c>
      <c r="Q121" s="38"/>
      <c r="R121" s="38"/>
      <c r="S121" s="38"/>
    </row>
    <row r="122" spans="1:19" ht="50.4" customHeight="1" x14ac:dyDescent="0.3">
      <c r="A122" s="47">
        <v>36296768</v>
      </c>
      <c r="B122" s="39">
        <v>46133</v>
      </c>
      <c r="C122" s="36" t="s">
        <v>1677</v>
      </c>
      <c r="D122" s="47">
        <v>36296768</v>
      </c>
      <c r="E122" s="38" t="s">
        <v>349</v>
      </c>
      <c r="F122" s="37" t="s">
        <v>1684</v>
      </c>
      <c r="G122" s="38">
        <v>3144535484</v>
      </c>
      <c r="H122" s="38">
        <v>4</v>
      </c>
      <c r="I122" s="38" t="s">
        <v>661</v>
      </c>
      <c r="J122" s="38" t="s">
        <v>663</v>
      </c>
      <c r="K122" s="38" t="s">
        <v>1686</v>
      </c>
      <c r="L122" s="38"/>
      <c r="M122" s="39"/>
      <c r="N122" s="38" t="s">
        <v>842</v>
      </c>
      <c r="O122" s="38" t="s">
        <v>390</v>
      </c>
      <c r="P122" s="38" t="s">
        <v>843</v>
      </c>
      <c r="Q122" s="38"/>
      <c r="R122" s="38"/>
      <c r="S122" s="38"/>
    </row>
    <row r="123" spans="1:19" ht="50.4" customHeight="1" x14ac:dyDescent="0.3">
      <c r="A123" s="47">
        <v>36312411</v>
      </c>
      <c r="B123" s="39">
        <v>46073</v>
      </c>
      <c r="C123" s="36" t="s">
        <v>1354</v>
      </c>
      <c r="D123" s="47">
        <v>36312411</v>
      </c>
      <c r="E123" s="38" t="s">
        <v>349</v>
      </c>
      <c r="F123" s="37" t="s">
        <v>1357</v>
      </c>
      <c r="G123" s="38">
        <v>3154253322</v>
      </c>
      <c r="H123" s="38">
        <v>4</v>
      </c>
      <c r="I123" s="38" t="s">
        <v>665</v>
      </c>
      <c r="J123" s="38" t="s">
        <v>1532</v>
      </c>
      <c r="K123" s="38" t="s">
        <v>1359</v>
      </c>
      <c r="L123" s="38"/>
      <c r="M123" s="39"/>
      <c r="N123" s="38" t="s">
        <v>842</v>
      </c>
      <c r="O123" s="38" t="s">
        <v>390</v>
      </c>
      <c r="P123" s="38" t="s">
        <v>843</v>
      </c>
      <c r="Q123" s="38"/>
      <c r="R123" s="38"/>
      <c r="S123" s="38"/>
    </row>
    <row r="124" spans="1:19" ht="50.4" customHeight="1" x14ac:dyDescent="0.3">
      <c r="A124" s="47">
        <v>36555287</v>
      </c>
      <c r="B124" s="49">
        <v>46020</v>
      </c>
      <c r="C124" s="36" t="s">
        <v>110</v>
      </c>
      <c r="D124" s="47">
        <v>36555287</v>
      </c>
      <c r="E124" s="36" t="s">
        <v>101</v>
      </c>
      <c r="F124" s="37" t="s">
        <v>111</v>
      </c>
      <c r="G124" s="36">
        <v>3162411905</v>
      </c>
      <c r="H124" s="36">
        <v>1</v>
      </c>
      <c r="I124" s="38" t="s">
        <v>636</v>
      </c>
      <c r="J124" s="38" t="s">
        <v>675</v>
      </c>
      <c r="K124" s="36" t="s">
        <v>245</v>
      </c>
      <c r="L124" s="36"/>
      <c r="M124" s="39">
        <v>46035</v>
      </c>
      <c r="N124" s="38" t="s">
        <v>842</v>
      </c>
      <c r="O124" s="38" t="s">
        <v>390</v>
      </c>
      <c r="P124" s="38" t="s">
        <v>842</v>
      </c>
      <c r="Q124" s="38" t="s">
        <v>1559</v>
      </c>
      <c r="R124" s="38"/>
      <c r="S124" s="38" t="s">
        <v>245</v>
      </c>
    </row>
    <row r="125" spans="1:19" ht="50.4" customHeight="1" x14ac:dyDescent="0.3">
      <c r="A125" s="47">
        <v>36718425</v>
      </c>
      <c r="B125" s="39">
        <v>46084</v>
      </c>
      <c r="C125" s="38" t="s">
        <v>1385</v>
      </c>
      <c r="D125" s="47">
        <v>36718425</v>
      </c>
      <c r="E125" s="38" t="s">
        <v>101</v>
      </c>
      <c r="F125" s="37" t="s">
        <v>1401</v>
      </c>
      <c r="G125" s="38">
        <v>3173728971</v>
      </c>
      <c r="H125" s="38">
        <v>1</v>
      </c>
      <c r="I125" s="38" t="s">
        <v>678</v>
      </c>
      <c r="J125" s="38" t="e">
        <v>#REF!</v>
      </c>
      <c r="K125" s="38" t="s">
        <v>1404</v>
      </c>
      <c r="L125" s="38"/>
      <c r="M125" s="39"/>
      <c r="N125" s="38" t="s">
        <v>842</v>
      </c>
      <c r="O125" s="38" t="s">
        <v>390</v>
      </c>
      <c r="P125" s="38" t="s">
        <v>842</v>
      </c>
      <c r="Q125" s="38"/>
      <c r="R125" s="38"/>
      <c r="S125" s="38"/>
    </row>
    <row r="126" spans="1:19" ht="50.4" customHeight="1" x14ac:dyDescent="0.3">
      <c r="A126" s="47">
        <v>37088246</v>
      </c>
      <c r="B126" s="51">
        <v>46032</v>
      </c>
      <c r="C126" s="36" t="s">
        <v>284</v>
      </c>
      <c r="D126" s="47">
        <v>37088246</v>
      </c>
      <c r="E126" s="36" t="s">
        <v>349</v>
      </c>
      <c r="F126" s="37" t="s">
        <v>285</v>
      </c>
      <c r="G126" s="38">
        <v>3023532173</v>
      </c>
      <c r="H126" s="38">
        <v>5</v>
      </c>
      <c r="I126" s="38" t="s">
        <v>629</v>
      </c>
      <c r="J126" s="38" t="s">
        <v>630</v>
      </c>
      <c r="K126" s="38" t="s">
        <v>276</v>
      </c>
      <c r="L126" s="38"/>
      <c r="M126" s="39">
        <v>46039</v>
      </c>
      <c r="N126" s="38" t="s">
        <v>842</v>
      </c>
      <c r="O126" s="38" t="s">
        <v>390</v>
      </c>
      <c r="P126" s="38" t="s">
        <v>842</v>
      </c>
      <c r="Q126" s="38" t="s">
        <v>1559</v>
      </c>
      <c r="R126" s="38"/>
      <c r="S126" s="38" t="s">
        <v>276</v>
      </c>
    </row>
    <row r="127" spans="1:19" ht="50.4" customHeight="1" x14ac:dyDescent="0.3">
      <c r="A127" s="47">
        <v>37182404</v>
      </c>
      <c r="B127" s="39">
        <v>46038</v>
      </c>
      <c r="C127" s="36" t="s">
        <v>355</v>
      </c>
      <c r="D127" s="47">
        <v>37182404</v>
      </c>
      <c r="E127" s="36" t="s">
        <v>101</v>
      </c>
      <c r="F127" s="37" t="s">
        <v>373</v>
      </c>
      <c r="G127" s="38">
        <v>0</v>
      </c>
      <c r="H127" s="38">
        <v>3</v>
      </c>
      <c r="I127" s="38" t="s">
        <v>676</v>
      </c>
      <c r="J127" s="38" t="s">
        <v>677</v>
      </c>
      <c r="K127" s="38" t="s">
        <v>363</v>
      </c>
      <c r="L127" s="38"/>
      <c r="M127" s="39">
        <v>46049</v>
      </c>
      <c r="N127" s="38" t="s">
        <v>842</v>
      </c>
      <c r="O127" s="38" t="s">
        <v>390</v>
      </c>
      <c r="P127" s="38" t="s">
        <v>842</v>
      </c>
      <c r="Q127" s="38" t="s">
        <v>1559</v>
      </c>
      <c r="R127" s="38"/>
      <c r="S127" s="38" t="s">
        <v>363</v>
      </c>
    </row>
    <row r="128" spans="1:19" ht="50.4" hidden="1" customHeight="1" x14ac:dyDescent="0.3">
      <c r="A128" s="47">
        <v>37749732</v>
      </c>
      <c r="B128" s="50">
        <v>46029</v>
      </c>
      <c r="C128" s="36" t="s">
        <v>28</v>
      </c>
      <c r="D128" s="47">
        <v>37749732</v>
      </c>
      <c r="E128" s="36" t="s">
        <v>381</v>
      </c>
      <c r="F128" s="37" t="s">
        <v>29</v>
      </c>
      <c r="G128" s="36">
        <v>3232064022</v>
      </c>
      <c r="H128" s="36">
        <v>3</v>
      </c>
      <c r="I128" s="38" t="s">
        <v>632</v>
      </c>
      <c r="J128" s="38" t="s">
        <v>633</v>
      </c>
      <c r="K128" s="40"/>
      <c r="L128" s="36" t="s">
        <v>256</v>
      </c>
      <c r="M128" s="39">
        <v>46035</v>
      </c>
      <c r="N128" s="38" t="s">
        <v>843</v>
      </c>
      <c r="O128" s="38" t="s">
        <v>380</v>
      </c>
      <c r="P128" s="38" t="s">
        <v>843</v>
      </c>
      <c r="Q128" s="38" t="s">
        <v>1558</v>
      </c>
      <c r="R128" s="38"/>
      <c r="S128" s="38"/>
    </row>
    <row r="129" spans="1:19" ht="50.4" hidden="1" customHeight="1" x14ac:dyDescent="0.3">
      <c r="A129" s="47">
        <v>37864950</v>
      </c>
      <c r="B129" s="50">
        <v>46029</v>
      </c>
      <c r="C129" s="36" t="s">
        <v>18</v>
      </c>
      <c r="D129" s="47">
        <v>37864950</v>
      </c>
      <c r="E129" s="36" t="s">
        <v>381</v>
      </c>
      <c r="F129" s="37" t="s">
        <v>19</v>
      </c>
      <c r="G129" s="36">
        <v>3125872033</v>
      </c>
      <c r="H129" s="36">
        <v>3</v>
      </c>
      <c r="I129" s="38" t="s">
        <v>643</v>
      </c>
      <c r="J129" s="38" t="s">
        <v>681</v>
      </c>
      <c r="K129" s="36" t="s">
        <v>259</v>
      </c>
      <c r="L129" s="36"/>
      <c r="M129" s="39">
        <v>46035</v>
      </c>
      <c r="N129" s="38" t="s">
        <v>842</v>
      </c>
      <c r="O129" s="38" t="s">
        <v>380</v>
      </c>
      <c r="P129" s="38" t="s">
        <v>842</v>
      </c>
      <c r="Q129" s="38" t="s">
        <v>1559</v>
      </c>
      <c r="R129" s="38"/>
      <c r="S129" s="38" t="s">
        <v>259</v>
      </c>
    </row>
    <row r="130" spans="1:19" ht="50.4" customHeight="1" x14ac:dyDescent="0.3">
      <c r="A130" s="47">
        <v>38143252</v>
      </c>
      <c r="B130" s="39">
        <v>46125</v>
      </c>
      <c r="C130" s="36" t="s">
        <v>1610</v>
      </c>
      <c r="D130" s="47">
        <v>38143252</v>
      </c>
      <c r="E130" s="38" t="s">
        <v>101</v>
      </c>
      <c r="F130" s="37" t="s">
        <v>1620</v>
      </c>
      <c r="G130" s="38">
        <v>2650549</v>
      </c>
      <c r="H130" s="38">
        <v>2</v>
      </c>
      <c r="I130" s="38" t="s">
        <v>665</v>
      </c>
      <c r="J130" s="38" t="s">
        <v>666</v>
      </c>
      <c r="K130" s="38" t="s">
        <v>1615</v>
      </c>
      <c r="L130" s="38"/>
      <c r="M130" s="39"/>
      <c r="N130" s="38" t="s">
        <v>842</v>
      </c>
      <c r="O130" s="38" t="s">
        <v>390</v>
      </c>
      <c r="P130" s="38" t="s">
        <v>843</v>
      </c>
      <c r="Q130" s="38"/>
      <c r="R130" s="38"/>
      <c r="S130" s="38"/>
    </row>
    <row r="131" spans="1:19" ht="50.4" hidden="1" customHeight="1" x14ac:dyDescent="0.3">
      <c r="A131" s="47">
        <v>38363000</v>
      </c>
      <c r="B131" s="49">
        <v>46020</v>
      </c>
      <c r="C131" s="36" t="s">
        <v>151</v>
      </c>
      <c r="D131" s="47">
        <v>38363000</v>
      </c>
      <c r="E131" s="36" t="s">
        <v>384</v>
      </c>
      <c r="F131" s="37" t="s">
        <v>152</v>
      </c>
      <c r="G131" s="36">
        <v>3102146160</v>
      </c>
      <c r="H131" s="36">
        <v>2</v>
      </c>
      <c r="I131" s="38" t="s">
        <v>665</v>
      </c>
      <c r="J131" s="38" t="s">
        <v>666</v>
      </c>
      <c r="K131" s="36" t="s">
        <v>245</v>
      </c>
      <c r="L131" s="36"/>
      <c r="M131" s="39">
        <v>46035</v>
      </c>
      <c r="N131" s="38" t="s">
        <v>842</v>
      </c>
      <c r="O131" s="38" t="s">
        <v>380</v>
      </c>
      <c r="P131" s="38" t="s">
        <v>842</v>
      </c>
      <c r="Q131" s="38" t="s">
        <v>1559</v>
      </c>
      <c r="R131" s="38"/>
      <c r="S131" s="38" t="s">
        <v>245</v>
      </c>
    </row>
    <row r="132" spans="1:19" ht="50.4" hidden="1" customHeight="1" x14ac:dyDescent="0.3">
      <c r="A132" s="47">
        <v>39097283</v>
      </c>
      <c r="B132" s="39">
        <v>46073</v>
      </c>
      <c r="C132" s="36" t="s">
        <v>1290</v>
      </c>
      <c r="D132" s="47">
        <v>39097283</v>
      </c>
      <c r="E132" s="38" t="s">
        <v>384</v>
      </c>
      <c r="F132" s="37" t="s">
        <v>1291</v>
      </c>
      <c r="G132" s="38">
        <v>3003620253</v>
      </c>
      <c r="H132" s="38">
        <v>1</v>
      </c>
      <c r="I132" s="38" t="s">
        <v>678</v>
      </c>
      <c r="J132" s="38" t="s">
        <v>1300</v>
      </c>
      <c r="K132" s="38" t="s">
        <v>1228</v>
      </c>
      <c r="L132" s="38"/>
      <c r="M132" s="39">
        <v>46076</v>
      </c>
      <c r="N132" s="38" t="s">
        <v>842</v>
      </c>
      <c r="O132" s="38" t="s">
        <v>380</v>
      </c>
      <c r="P132" s="38" t="s">
        <v>1555</v>
      </c>
      <c r="Q132" s="38" t="s">
        <v>1561</v>
      </c>
      <c r="R132" s="38"/>
      <c r="S132" s="38"/>
    </row>
    <row r="133" spans="1:19" ht="50.4" customHeight="1" x14ac:dyDescent="0.3">
      <c r="A133" s="47">
        <v>39417710</v>
      </c>
      <c r="B133" s="39">
        <v>46062</v>
      </c>
      <c r="C133" s="36" t="s">
        <v>1070</v>
      </c>
      <c r="D133" s="47">
        <v>39417710</v>
      </c>
      <c r="E133" s="38" t="s">
        <v>101</v>
      </c>
      <c r="F133" s="37" t="s">
        <v>1071</v>
      </c>
      <c r="G133" s="38" t="s">
        <v>1072</v>
      </c>
      <c r="H133" s="38">
        <v>5</v>
      </c>
      <c r="I133" s="38" t="s">
        <v>657</v>
      </c>
      <c r="J133" s="38" t="s">
        <v>1120</v>
      </c>
      <c r="K133" s="38" t="s">
        <v>1064</v>
      </c>
      <c r="L133" s="38"/>
      <c r="M133" s="39">
        <v>46072</v>
      </c>
      <c r="N133" s="38" t="s">
        <v>842</v>
      </c>
      <c r="O133" s="38" t="s">
        <v>390</v>
      </c>
      <c r="P133" s="38" t="s">
        <v>843</v>
      </c>
      <c r="Q133" s="38" t="s">
        <v>1561</v>
      </c>
      <c r="R133" s="38"/>
      <c r="S133" s="38"/>
    </row>
    <row r="134" spans="1:19" ht="50.4" customHeight="1" x14ac:dyDescent="0.3">
      <c r="A134" s="47">
        <v>39547159</v>
      </c>
      <c r="B134" s="39">
        <v>46073</v>
      </c>
      <c r="C134" s="36" t="s">
        <v>1351</v>
      </c>
      <c r="D134" s="47">
        <v>39547159</v>
      </c>
      <c r="E134" s="38" t="s">
        <v>349</v>
      </c>
      <c r="F134" s="37" t="s">
        <v>1352</v>
      </c>
      <c r="G134" s="38">
        <v>3178647950</v>
      </c>
      <c r="H134" s="38">
        <v>4</v>
      </c>
      <c r="I134" s="38" t="s">
        <v>631</v>
      </c>
      <c r="J134" s="38" t="s">
        <v>631</v>
      </c>
      <c r="K134" s="38" t="s">
        <v>1359</v>
      </c>
      <c r="L134" s="38"/>
      <c r="M134" s="39"/>
      <c r="N134" s="38" t="s">
        <v>842</v>
      </c>
      <c r="O134" s="38" t="s">
        <v>390</v>
      </c>
      <c r="P134" s="38" t="s">
        <v>843</v>
      </c>
      <c r="Q134" s="38"/>
      <c r="R134" s="38"/>
      <c r="S134" s="38"/>
    </row>
    <row r="135" spans="1:19" ht="50.4" customHeight="1" x14ac:dyDescent="0.3">
      <c r="A135" s="47">
        <v>40093428</v>
      </c>
      <c r="B135" s="39">
        <v>46084</v>
      </c>
      <c r="C135" s="38" t="s">
        <v>1386</v>
      </c>
      <c r="D135" s="47">
        <v>40093428</v>
      </c>
      <c r="E135" s="38" t="s">
        <v>349</v>
      </c>
      <c r="F135" s="37" t="s">
        <v>1402</v>
      </c>
      <c r="G135" s="53" t="s">
        <v>1403</v>
      </c>
      <c r="H135" s="38">
        <v>4</v>
      </c>
      <c r="I135" s="38" t="s">
        <v>970</v>
      </c>
      <c r="J135" s="38" t="e">
        <v>#REF!</v>
      </c>
      <c r="K135" s="38" t="s">
        <v>1404</v>
      </c>
      <c r="L135" s="38"/>
      <c r="M135" s="39"/>
      <c r="N135" s="38" t="s">
        <v>842</v>
      </c>
      <c r="O135" s="38" t="s">
        <v>390</v>
      </c>
      <c r="P135" s="38" t="s">
        <v>843</v>
      </c>
      <c r="Q135" s="38"/>
      <c r="R135" s="38"/>
      <c r="S135" s="38"/>
    </row>
    <row r="136" spans="1:19" ht="50.4" customHeight="1" x14ac:dyDescent="0.3">
      <c r="A136" s="47">
        <v>40332052</v>
      </c>
      <c r="B136" s="39">
        <v>46097</v>
      </c>
      <c r="C136" s="38" t="s">
        <v>1440</v>
      </c>
      <c r="D136" s="47">
        <v>40332052</v>
      </c>
      <c r="E136" s="36" t="s">
        <v>101</v>
      </c>
      <c r="F136" s="37" t="s">
        <v>1476</v>
      </c>
      <c r="G136" s="38">
        <v>3134333393</v>
      </c>
      <c r="H136" s="38">
        <v>4</v>
      </c>
      <c r="I136" s="38" t="s">
        <v>707</v>
      </c>
      <c r="J136" s="38" t="e">
        <v>#REF!</v>
      </c>
      <c r="K136" s="38" t="s">
        <v>1418</v>
      </c>
      <c r="L136" s="38"/>
      <c r="M136" s="39"/>
      <c r="N136" s="38" t="s">
        <v>842</v>
      </c>
      <c r="O136" s="38" t="s">
        <v>390</v>
      </c>
      <c r="P136" s="38" t="s">
        <v>842</v>
      </c>
      <c r="Q136" s="38"/>
      <c r="R136" s="38"/>
      <c r="S136" s="38"/>
    </row>
    <row r="137" spans="1:19" ht="50.4" hidden="1" customHeight="1" x14ac:dyDescent="0.3">
      <c r="A137" s="47">
        <v>40393795</v>
      </c>
      <c r="B137" s="50">
        <v>46029</v>
      </c>
      <c r="C137" s="36" t="s">
        <v>47</v>
      </c>
      <c r="D137" s="47">
        <v>40393795</v>
      </c>
      <c r="E137" s="36" t="s">
        <v>261</v>
      </c>
      <c r="F137" s="37" t="s">
        <v>48</v>
      </c>
      <c r="G137" s="36">
        <v>3219459143</v>
      </c>
      <c r="H137" s="36">
        <v>4</v>
      </c>
      <c r="I137" s="38" t="s">
        <v>707</v>
      </c>
      <c r="J137" s="38" t="s">
        <v>708</v>
      </c>
      <c r="K137" s="36" t="s">
        <v>258</v>
      </c>
      <c r="L137" s="36"/>
      <c r="M137" s="39">
        <v>46035</v>
      </c>
      <c r="N137" s="38" t="s">
        <v>842</v>
      </c>
      <c r="O137" s="38" t="s">
        <v>380</v>
      </c>
      <c r="P137" s="38" t="s">
        <v>842</v>
      </c>
      <c r="Q137" s="38" t="s">
        <v>1559</v>
      </c>
      <c r="R137" s="38"/>
      <c r="S137" s="38" t="s">
        <v>258</v>
      </c>
    </row>
    <row r="138" spans="1:19" ht="50.4" customHeight="1" x14ac:dyDescent="0.3">
      <c r="A138" s="47">
        <v>40433749</v>
      </c>
      <c r="B138" s="39">
        <v>46062</v>
      </c>
      <c r="C138" s="36" t="s">
        <v>1087</v>
      </c>
      <c r="D138" s="47">
        <v>40433749</v>
      </c>
      <c r="E138" s="38" t="s">
        <v>101</v>
      </c>
      <c r="F138" s="37" t="s">
        <v>1088</v>
      </c>
      <c r="G138" s="38">
        <v>3143097811</v>
      </c>
      <c r="H138" s="38">
        <v>4</v>
      </c>
      <c r="I138" s="38" t="s">
        <v>707</v>
      </c>
      <c r="J138" s="38" t="s">
        <v>1123</v>
      </c>
      <c r="K138" s="38" t="s">
        <v>1064</v>
      </c>
      <c r="L138" s="38"/>
      <c r="M138" s="39">
        <v>46072</v>
      </c>
      <c r="N138" s="38" t="s">
        <v>842</v>
      </c>
      <c r="O138" s="38" t="s">
        <v>390</v>
      </c>
      <c r="P138" s="38" t="s">
        <v>842</v>
      </c>
      <c r="Q138" s="38" t="s">
        <v>1559</v>
      </c>
      <c r="R138" s="38" t="s">
        <v>1585</v>
      </c>
      <c r="S138" s="38"/>
    </row>
    <row r="139" spans="1:19" ht="50.4" customHeight="1" x14ac:dyDescent="0.3">
      <c r="A139" s="47">
        <v>40774284</v>
      </c>
      <c r="B139" s="39">
        <v>46056</v>
      </c>
      <c r="C139" s="36" t="s">
        <v>990</v>
      </c>
      <c r="D139" s="47">
        <v>40774284</v>
      </c>
      <c r="E139" s="38" t="s">
        <v>101</v>
      </c>
      <c r="F139" s="37" t="s">
        <v>991</v>
      </c>
      <c r="G139" s="38">
        <v>3124345760</v>
      </c>
      <c r="H139" s="38">
        <v>3</v>
      </c>
      <c r="I139" s="38" t="s">
        <v>679</v>
      </c>
      <c r="J139" s="38" t="s">
        <v>680</v>
      </c>
      <c r="K139" s="38" t="s">
        <v>994</v>
      </c>
      <c r="L139" s="38"/>
      <c r="M139" s="39"/>
      <c r="N139" s="38" t="s">
        <v>842</v>
      </c>
      <c r="O139" s="38" t="s">
        <v>390</v>
      </c>
      <c r="P139" s="38" t="s">
        <v>842</v>
      </c>
      <c r="Q139" s="38"/>
      <c r="R139" s="38"/>
      <c r="S139" s="38"/>
    </row>
    <row r="140" spans="1:19" ht="50.4" customHeight="1" x14ac:dyDescent="0.3">
      <c r="A140" s="47">
        <v>40780086</v>
      </c>
      <c r="B140" s="39">
        <v>46084</v>
      </c>
      <c r="C140" s="38" t="s">
        <v>1379</v>
      </c>
      <c r="D140" s="47">
        <v>40780086</v>
      </c>
      <c r="E140" s="38" t="s">
        <v>349</v>
      </c>
      <c r="F140" s="37" t="s">
        <v>1395</v>
      </c>
      <c r="G140" s="53">
        <v>3103058472</v>
      </c>
      <c r="H140" s="38">
        <v>4</v>
      </c>
      <c r="I140" s="38" t="s">
        <v>970</v>
      </c>
      <c r="J140" s="38" t="e">
        <v>#REF!</v>
      </c>
      <c r="K140" s="38" t="s">
        <v>1404</v>
      </c>
      <c r="L140" s="38"/>
      <c r="M140" s="39"/>
      <c r="N140" s="38" t="s">
        <v>842</v>
      </c>
      <c r="O140" s="38" t="s">
        <v>390</v>
      </c>
      <c r="P140" s="38" t="s">
        <v>843</v>
      </c>
      <c r="Q140" s="38"/>
      <c r="R140" s="38"/>
      <c r="S140" s="38"/>
    </row>
    <row r="141" spans="1:19" ht="50.4" customHeight="1" x14ac:dyDescent="0.3">
      <c r="A141" s="47">
        <v>40941621</v>
      </c>
      <c r="B141" s="39">
        <v>46038</v>
      </c>
      <c r="C141" s="36" t="s">
        <v>551</v>
      </c>
      <c r="D141" s="47">
        <v>40941621</v>
      </c>
      <c r="E141" s="36" t="s">
        <v>101</v>
      </c>
      <c r="F141" s="37" t="s">
        <v>475</v>
      </c>
      <c r="G141" s="38" t="s">
        <v>476</v>
      </c>
      <c r="H141" s="38">
        <v>1</v>
      </c>
      <c r="I141" s="38" t="s">
        <v>678</v>
      </c>
      <c r="J141" s="38" t="s">
        <v>983</v>
      </c>
      <c r="K141" s="38" t="s">
        <v>469</v>
      </c>
      <c r="L141" s="38"/>
      <c r="M141" s="39">
        <v>46049</v>
      </c>
      <c r="N141" s="38" t="s">
        <v>842</v>
      </c>
      <c r="O141" s="38" t="s">
        <v>390</v>
      </c>
      <c r="P141" s="38" t="s">
        <v>842</v>
      </c>
      <c r="Q141" s="38" t="s">
        <v>1560</v>
      </c>
      <c r="R141" s="38" t="s">
        <v>1563</v>
      </c>
      <c r="S141" s="38" t="s">
        <v>469</v>
      </c>
    </row>
    <row r="142" spans="1:19" ht="50.4" customHeight="1" x14ac:dyDescent="0.3">
      <c r="A142" s="47">
        <v>42091738</v>
      </c>
      <c r="B142" s="39">
        <v>46097</v>
      </c>
      <c r="C142" s="38" t="s">
        <v>1448</v>
      </c>
      <c r="D142" s="47">
        <v>42091738</v>
      </c>
      <c r="E142" s="36" t="s">
        <v>101</v>
      </c>
      <c r="F142" s="37" t="s">
        <v>1485</v>
      </c>
      <c r="G142" s="38">
        <v>3122574454</v>
      </c>
      <c r="H142" s="38">
        <v>2</v>
      </c>
      <c r="I142" s="38" t="s">
        <v>659</v>
      </c>
      <c r="J142" s="38" t="e">
        <v>#REF!</v>
      </c>
      <c r="K142" s="38" t="s">
        <v>1418</v>
      </c>
      <c r="L142" s="38"/>
      <c r="M142" s="39"/>
      <c r="N142" s="38" t="s">
        <v>842</v>
      </c>
      <c r="O142" s="38" t="s">
        <v>390</v>
      </c>
      <c r="P142" s="38" t="s">
        <v>842</v>
      </c>
      <c r="Q142" s="38"/>
      <c r="R142" s="38"/>
      <c r="S142" s="38"/>
    </row>
    <row r="143" spans="1:19" ht="50.4" customHeight="1" x14ac:dyDescent="0.3">
      <c r="A143" s="47">
        <v>43274119</v>
      </c>
      <c r="B143" s="39">
        <v>46084</v>
      </c>
      <c r="C143" s="38" t="s">
        <v>1382</v>
      </c>
      <c r="D143" s="47">
        <v>43274119</v>
      </c>
      <c r="E143" s="38" t="s">
        <v>101</v>
      </c>
      <c r="F143" s="37" t="s">
        <v>1398</v>
      </c>
      <c r="G143" s="53">
        <v>3114524280</v>
      </c>
      <c r="H143" s="38">
        <v>4</v>
      </c>
      <c r="I143" s="38" t="s">
        <v>970</v>
      </c>
      <c r="J143" s="38" t="e">
        <v>#REF!</v>
      </c>
      <c r="K143" s="38" t="s">
        <v>1404</v>
      </c>
      <c r="L143" s="38"/>
      <c r="M143" s="39"/>
      <c r="N143" s="38" t="s">
        <v>842</v>
      </c>
      <c r="O143" s="38" t="s">
        <v>390</v>
      </c>
      <c r="P143" s="38" t="s">
        <v>843</v>
      </c>
      <c r="Q143" s="38"/>
      <c r="R143" s="38"/>
      <c r="S143" s="38"/>
    </row>
    <row r="144" spans="1:19" ht="50.4" customHeight="1" x14ac:dyDescent="0.3">
      <c r="A144" s="47">
        <v>43862335</v>
      </c>
      <c r="B144" s="39">
        <v>46066</v>
      </c>
      <c r="C144" s="36" t="s">
        <v>1183</v>
      </c>
      <c r="D144" s="47">
        <v>43862335</v>
      </c>
      <c r="E144" s="38" t="s">
        <v>101</v>
      </c>
      <c r="F144" s="37" t="s">
        <v>1184</v>
      </c>
      <c r="G144" s="38">
        <v>3113209415</v>
      </c>
      <c r="H144" s="38">
        <v>5</v>
      </c>
      <c r="I144" s="38" t="s">
        <v>657</v>
      </c>
      <c r="J144" s="38" t="s">
        <v>1192</v>
      </c>
      <c r="K144" s="38" t="s">
        <v>1152</v>
      </c>
      <c r="L144" s="38"/>
      <c r="M144" s="39">
        <v>46076</v>
      </c>
      <c r="N144" s="38" t="s">
        <v>842</v>
      </c>
      <c r="O144" s="38" t="s">
        <v>390</v>
      </c>
      <c r="P144" s="38" t="s">
        <v>1555</v>
      </c>
      <c r="Q144" s="38" t="s">
        <v>1561</v>
      </c>
      <c r="R144" s="38"/>
      <c r="S144" s="38"/>
    </row>
    <row r="145" spans="1:19" ht="50.4" customHeight="1" x14ac:dyDescent="0.3">
      <c r="A145" s="47">
        <v>43867460</v>
      </c>
      <c r="B145" s="39">
        <v>46062</v>
      </c>
      <c r="C145" s="36" t="s">
        <v>1054</v>
      </c>
      <c r="D145" s="47">
        <v>43867460</v>
      </c>
      <c r="E145" s="38" t="s">
        <v>349</v>
      </c>
      <c r="F145" s="37" t="s">
        <v>1055</v>
      </c>
      <c r="G145" s="38" t="s">
        <v>1056</v>
      </c>
      <c r="H145" s="38">
        <v>5</v>
      </c>
      <c r="I145" s="38" t="s">
        <v>657</v>
      </c>
      <c r="J145" s="38" t="e">
        <v>#REF!</v>
      </c>
      <c r="K145" s="38" t="s">
        <v>1017</v>
      </c>
      <c r="L145" s="38"/>
      <c r="M145" s="39">
        <v>46072</v>
      </c>
      <c r="N145" s="38" t="s">
        <v>842</v>
      </c>
      <c r="O145" s="38" t="s">
        <v>390</v>
      </c>
      <c r="P145" s="38" t="s">
        <v>843</v>
      </c>
      <c r="Q145" s="38" t="s">
        <v>1561</v>
      </c>
      <c r="R145" s="38"/>
      <c r="S145" s="38"/>
    </row>
    <row r="146" spans="1:19" ht="50.4" customHeight="1" x14ac:dyDescent="0.3">
      <c r="A146" s="47">
        <v>43906220</v>
      </c>
      <c r="B146" s="39">
        <v>46062</v>
      </c>
      <c r="C146" s="36" t="s">
        <v>1129</v>
      </c>
      <c r="D146" s="47">
        <v>43906220</v>
      </c>
      <c r="E146" s="38" t="s">
        <v>101</v>
      </c>
      <c r="F146" s="37" t="s">
        <v>1130</v>
      </c>
      <c r="G146" s="38" t="s">
        <v>1131</v>
      </c>
      <c r="H146" s="38">
        <v>5</v>
      </c>
      <c r="I146" s="38" t="s">
        <v>657</v>
      </c>
      <c r="J146" s="38" t="s">
        <v>1133</v>
      </c>
      <c r="K146" s="38" t="s">
        <v>1126</v>
      </c>
      <c r="L146" s="38"/>
      <c r="M146" s="39"/>
      <c r="N146" s="38" t="s">
        <v>842</v>
      </c>
      <c r="O146" s="38" t="s">
        <v>390</v>
      </c>
      <c r="P146" s="38" t="s">
        <v>842</v>
      </c>
      <c r="Q146" s="38"/>
      <c r="R146" s="38"/>
      <c r="S146" s="38"/>
    </row>
    <row r="147" spans="1:19" ht="50.4" customHeight="1" x14ac:dyDescent="0.3">
      <c r="A147" s="47">
        <v>45482446</v>
      </c>
      <c r="B147" s="39">
        <v>46073</v>
      </c>
      <c r="C147" s="36" t="s">
        <v>1326</v>
      </c>
      <c r="D147" s="47">
        <v>45482446</v>
      </c>
      <c r="E147" s="38" t="s">
        <v>101</v>
      </c>
      <c r="F147" s="37" t="s">
        <v>1337</v>
      </c>
      <c r="G147" s="38">
        <v>3156289527</v>
      </c>
      <c r="H147" s="38">
        <v>1</v>
      </c>
      <c r="I147" s="38" t="s">
        <v>1346</v>
      </c>
      <c r="J147" s="38" t="s">
        <v>1346</v>
      </c>
      <c r="K147" s="38" t="s">
        <v>1335</v>
      </c>
      <c r="L147" s="38"/>
      <c r="M147" s="39"/>
      <c r="N147" s="38" t="s">
        <v>842</v>
      </c>
      <c r="O147" s="38" t="s">
        <v>390</v>
      </c>
      <c r="P147" s="38" t="s">
        <v>843</v>
      </c>
      <c r="Q147" s="38"/>
      <c r="R147" s="38"/>
      <c r="S147" s="38"/>
    </row>
    <row r="148" spans="1:19" ht="50.4" customHeight="1" x14ac:dyDescent="0.3">
      <c r="A148" s="47">
        <v>46386713</v>
      </c>
      <c r="B148" s="39">
        <v>46045</v>
      </c>
      <c r="C148" s="36" t="s">
        <v>619</v>
      </c>
      <c r="D148" s="47">
        <v>46386713</v>
      </c>
      <c r="E148" s="36" t="s">
        <v>101</v>
      </c>
      <c r="F148" s="37" t="s">
        <v>598</v>
      </c>
      <c r="G148" s="38">
        <v>3145407272</v>
      </c>
      <c r="H148" s="38">
        <v>3</v>
      </c>
      <c r="I148" s="38" t="s">
        <v>679</v>
      </c>
      <c r="J148" s="38" t="s">
        <v>680</v>
      </c>
      <c r="K148" s="38" t="s">
        <v>589</v>
      </c>
      <c r="L148" s="38"/>
      <c r="M148" s="39">
        <v>46049</v>
      </c>
      <c r="N148" s="38" t="s">
        <v>842</v>
      </c>
      <c r="O148" s="38" t="s">
        <v>390</v>
      </c>
      <c r="P148" s="38" t="s">
        <v>842</v>
      </c>
      <c r="Q148" s="38" t="s">
        <v>1559</v>
      </c>
      <c r="R148" s="38"/>
      <c r="S148" s="38" t="s">
        <v>589</v>
      </c>
    </row>
    <row r="149" spans="1:19" ht="50.4" customHeight="1" x14ac:dyDescent="0.3">
      <c r="A149" s="47">
        <v>46455782</v>
      </c>
      <c r="B149" s="39">
        <v>46045</v>
      </c>
      <c r="C149" s="36" t="s">
        <v>620</v>
      </c>
      <c r="D149" s="47">
        <v>46455782</v>
      </c>
      <c r="E149" s="36" t="s">
        <v>349</v>
      </c>
      <c r="F149" s="37" t="s">
        <v>599</v>
      </c>
      <c r="G149" s="38">
        <v>3142887064</v>
      </c>
      <c r="H149" s="38">
        <v>3</v>
      </c>
      <c r="I149" s="38" t="s">
        <v>653</v>
      </c>
      <c r="J149" s="38" t="s">
        <v>716</v>
      </c>
      <c r="K149" s="38" t="s">
        <v>589</v>
      </c>
      <c r="L149" s="38"/>
      <c r="M149" s="39">
        <v>46049</v>
      </c>
      <c r="N149" s="38" t="s">
        <v>842</v>
      </c>
      <c r="O149" s="38" t="s">
        <v>390</v>
      </c>
      <c r="P149" s="38" t="s">
        <v>842</v>
      </c>
      <c r="Q149" s="38" t="s">
        <v>1559</v>
      </c>
      <c r="R149" s="38"/>
      <c r="S149" s="38" t="s">
        <v>589</v>
      </c>
    </row>
    <row r="150" spans="1:19" ht="50.4" customHeight="1" x14ac:dyDescent="0.3">
      <c r="A150" s="47">
        <v>46456874</v>
      </c>
      <c r="B150" s="39">
        <v>46133</v>
      </c>
      <c r="C150" s="36" t="s">
        <v>1655</v>
      </c>
      <c r="D150" s="47">
        <v>46456874</v>
      </c>
      <c r="E150" s="38" t="s">
        <v>101</v>
      </c>
      <c r="F150" s="37" t="s">
        <v>1666</v>
      </c>
      <c r="G150" s="38">
        <v>3204583257</v>
      </c>
      <c r="H150" s="38">
        <v>3</v>
      </c>
      <c r="I150" s="38" t="s">
        <v>653</v>
      </c>
      <c r="J150" s="38" t="s">
        <v>968</v>
      </c>
      <c r="K150" s="38" t="s">
        <v>1656</v>
      </c>
      <c r="L150" s="38"/>
      <c r="M150" s="39"/>
      <c r="N150" s="38" t="s">
        <v>842</v>
      </c>
      <c r="O150" s="38" t="s">
        <v>390</v>
      </c>
      <c r="P150" s="38" t="s">
        <v>843</v>
      </c>
      <c r="Q150" s="38"/>
      <c r="R150" s="38"/>
      <c r="S150" s="38"/>
    </row>
    <row r="151" spans="1:19" ht="50.4" customHeight="1" x14ac:dyDescent="0.3">
      <c r="A151" s="47">
        <v>47429349</v>
      </c>
      <c r="B151" s="39">
        <v>46062</v>
      </c>
      <c r="C151" s="36" t="s">
        <v>1027</v>
      </c>
      <c r="D151" s="47">
        <v>47429349</v>
      </c>
      <c r="E151" s="38" t="s">
        <v>101</v>
      </c>
      <c r="F151" s="37" t="s">
        <v>1028</v>
      </c>
      <c r="G151" s="38" t="s">
        <v>1029</v>
      </c>
      <c r="H151" s="38">
        <v>3</v>
      </c>
      <c r="I151" s="38" t="s">
        <v>679</v>
      </c>
      <c r="J151" s="38" t="s">
        <v>680</v>
      </c>
      <c r="K151" s="38" t="s">
        <v>1017</v>
      </c>
      <c r="L151" s="38"/>
      <c r="M151" s="39">
        <v>46072</v>
      </c>
      <c r="N151" s="38" t="s">
        <v>842</v>
      </c>
      <c r="O151" s="38" t="s">
        <v>390</v>
      </c>
      <c r="P151" s="38" t="s">
        <v>843</v>
      </c>
      <c r="Q151" s="38" t="s">
        <v>1561</v>
      </c>
      <c r="R151" s="38"/>
      <c r="S151" s="38"/>
    </row>
    <row r="152" spans="1:19" ht="50.4" customHeight="1" x14ac:dyDescent="0.3">
      <c r="A152" s="47">
        <v>49609120</v>
      </c>
      <c r="B152" s="39">
        <v>46097</v>
      </c>
      <c r="C152" s="38" t="s">
        <v>1429</v>
      </c>
      <c r="D152" s="47">
        <v>49609120</v>
      </c>
      <c r="E152" s="38" t="s">
        <v>101</v>
      </c>
      <c r="F152" s="37" t="s">
        <v>1463</v>
      </c>
      <c r="G152" s="38" t="s">
        <v>1464</v>
      </c>
      <c r="H152" s="38">
        <v>1</v>
      </c>
      <c r="I152" s="38" t="s">
        <v>638</v>
      </c>
      <c r="J152" s="38" t="e">
        <v>#REF!</v>
      </c>
      <c r="K152" s="38" t="s">
        <v>1418</v>
      </c>
      <c r="L152" s="38"/>
      <c r="M152" s="39"/>
      <c r="N152" s="38" t="s">
        <v>842</v>
      </c>
      <c r="O152" s="38" t="s">
        <v>390</v>
      </c>
      <c r="P152" s="38" t="s">
        <v>843</v>
      </c>
      <c r="Q152" s="38"/>
      <c r="R152" s="38"/>
      <c r="S152" s="38"/>
    </row>
    <row r="153" spans="1:19" ht="50.4" customHeight="1" x14ac:dyDescent="0.3">
      <c r="A153" s="47">
        <v>49670265</v>
      </c>
      <c r="B153" s="39">
        <v>46041</v>
      </c>
      <c r="C153" s="36" t="s">
        <v>567</v>
      </c>
      <c r="D153" s="47">
        <v>49670265</v>
      </c>
      <c r="E153" s="36" t="s">
        <v>101</v>
      </c>
      <c r="F153" s="37" t="s">
        <v>433</v>
      </c>
      <c r="G153" s="38" t="s">
        <v>434</v>
      </c>
      <c r="H153" s="38">
        <v>1</v>
      </c>
      <c r="I153" s="38" t="s">
        <v>638</v>
      </c>
      <c r="J153" s="38" t="s">
        <v>685</v>
      </c>
      <c r="K153" s="38" t="s">
        <v>407</v>
      </c>
      <c r="L153" s="38"/>
      <c r="M153" s="39">
        <v>46049</v>
      </c>
      <c r="N153" s="38" t="s">
        <v>842</v>
      </c>
      <c r="O153" s="38" t="s">
        <v>390</v>
      </c>
      <c r="P153" s="38" t="s">
        <v>842</v>
      </c>
      <c r="Q153" s="38" t="s">
        <v>1560</v>
      </c>
      <c r="R153" s="38" t="s">
        <v>1574</v>
      </c>
      <c r="S153" s="38" t="s">
        <v>407</v>
      </c>
    </row>
    <row r="154" spans="1:19" ht="50.4" customHeight="1" x14ac:dyDescent="0.3">
      <c r="A154" s="47">
        <v>49697449</v>
      </c>
      <c r="B154" s="39">
        <v>46066</v>
      </c>
      <c r="C154" s="36" t="s">
        <v>1161</v>
      </c>
      <c r="D154" s="47">
        <v>49697449</v>
      </c>
      <c r="E154" s="38" t="s">
        <v>349</v>
      </c>
      <c r="F154" s="37" t="s">
        <v>1162</v>
      </c>
      <c r="G154" s="38" t="s">
        <v>1163</v>
      </c>
      <c r="H154" s="38">
        <v>3</v>
      </c>
      <c r="I154" s="38" t="s">
        <v>638</v>
      </c>
      <c r="J154" s="38" t="s">
        <v>1190</v>
      </c>
      <c r="K154" s="38" t="s">
        <v>1152</v>
      </c>
      <c r="L154" s="38"/>
      <c r="M154" s="39">
        <v>46076</v>
      </c>
      <c r="N154" s="38" t="s">
        <v>842</v>
      </c>
      <c r="O154" s="38" t="s">
        <v>390</v>
      </c>
      <c r="P154" s="38" t="s">
        <v>1555</v>
      </c>
      <c r="Q154" s="38" t="s">
        <v>1561</v>
      </c>
      <c r="R154" s="38"/>
      <c r="S154" s="38"/>
    </row>
    <row r="155" spans="1:19" ht="50.4" customHeight="1" x14ac:dyDescent="0.3">
      <c r="A155" s="47">
        <v>49720418</v>
      </c>
      <c r="B155" s="51">
        <v>46032</v>
      </c>
      <c r="C155" s="36" t="s">
        <v>334</v>
      </c>
      <c r="D155" s="47">
        <v>49720418</v>
      </c>
      <c r="E155" s="36" t="s">
        <v>349</v>
      </c>
      <c r="F155" s="37" t="s">
        <v>335</v>
      </c>
      <c r="G155" s="38">
        <v>3176387992</v>
      </c>
      <c r="H155" s="38">
        <v>1</v>
      </c>
      <c r="I155" s="38" t="s">
        <v>638</v>
      </c>
      <c r="J155" s="38" t="s">
        <v>639</v>
      </c>
      <c r="K155" s="38" t="s">
        <v>266</v>
      </c>
      <c r="L155" s="38"/>
      <c r="M155" s="39">
        <v>46039</v>
      </c>
      <c r="N155" s="38" t="s">
        <v>842</v>
      </c>
      <c r="O155" s="38" t="s">
        <v>390</v>
      </c>
      <c r="P155" s="38" t="s">
        <v>843</v>
      </c>
      <c r="Q155" s="38" t="s">
        <v>1560</v>
      </c>
      <c r="R155" s="38" t="s">
        <v>1567</v>
      </c>
      <c r="S155" s="38" t="s">
        <v>266</v>
      </c>
    </row>
    <row r="156" spans="1:19" ht="50.4" customHeight="1" x14ac:dyDescent="0.3">
      <c r="A156" s="47">
        <v>49759629</v>
      </c>
      <c r="B156" s="39">
        <v>46066</v>
      </c>
      <c r="C156" s="36" t="s">
        <v>1155</v>
      </c>
      <c r="D156" s="47">
        <v>49759629</v>
      </c>
      <c r="E156" s="38" t="s">
        <v>349</v>
      </c>
      <c r="F156" s="37" t="s">
        <v>1156</v>
      </c>
      <c r="G156" s="38">
        <v>3106104263</v>
      </c>
      <c r="H156" s="38">
        <v>1</v>
      </c>
      <c r="I156" s="38" t="s">
        <v>638</v>
      </c>
      <c r="J156" s="38" t="s">
        <v>639</v>
      </c>
      <c r="K156" s="38" t="s">
        <v>1152</v>
      </c>
      <c r="L156" s="38"/>
      <c r="M156" s="39">
        <v>46076</v>
      </c>
      <c r="N156" s="38" t="s">
        <v>842</v>
      </c>
      <c r="O156" s="38" t="s">
        <v>390</v>
      </c>
      <c r="P156" s="38" t="s">
        <v>1555</v>
      </c>
      <c r="Q156" s="38" t="s">
        <v>1561</v>
      </c>
      <c r="R156" s="38"/>
      <c r="S156" s="38"/>
    </row>
    <row r="157" spans="1:19" ht="50.4" customHeight="1" x14ac:dyDescent="0.3">
      <c r="A157" s="47">
        <v>49765380</v>
      </c>
      <c r="B157" s="39">
        <v>46133</v>
      </c>
      <c r="C157" s="36" t="s">
        <v>1673</v>
      </c>
      <c r="D157" s="47">
        <v>49765380</v>
      </c>
      <c r="E157" s="38" t="s">
        <v>101</v>
      </c>
      <c r="F157" s="37" t="s">
        <v>1680</v>
      </c>
      <c r="G157" s="38">
        <v>3152834457</v>
      </c>
      <c r="H157" s="38">
        <v>1</v>
      </c>
      <c r="I157" s="38" t="s">
        <v>638</v>
      </c>
      <c r="J157" s="38" t="s">
        <v>639</v>
      </c>
      <c r="K157" s="38" t="s">
        <v>1686</v>
      </c>
      <c r="L157" s="38"/>
      <c r="M157" s="39"/>
      <c r="N157" s="38" t="s">
        <v>842</v>
      </c>
      <c r="O157" s="38" t="s">
        <v>390</v>
      </c>
      <c r="P157" s="38" t="s">
        <v>843</v>
      </c>
      <c r="Q157" s="38"/>
      <c r="R157" s="38"/>
      <c r="S157" s="38"/>
    </row>
    <row r="158" spans="1:19" ht="50.4" customHeight="1" x14ac:dyDescent="0.3">
      <c r="A158" s="47">
        <v>49773306</v>
      </c>
      <c r="B158" s="39">
        <v>46062</v>
      </c>
      <c r="C158" s="36" t="s">
        <v>1040</v>
      </c>
      <c r="D158" s="47">
        <v>49773306</v>
      </c>
      <c r="E158" s="38" t="s">
        <v>101</v>
      </c>
      <c r="F158" s="37" t="s">
        <v>1041</v>
      </c>
      <c r="G158" s="38" t="s">
        <v>1042</v>
      </c>
      <c r="H158" s="38">
        <v>1</v>
      </c>
      <c r="I158" s="38" t="s">
        <v>638</v>
      </c>
      <c r="J158" s="38" t="s">
        <v>639</v>
      </c>
      <c r="K158" s="38" t="s">
        <v>1017</v>
      </c>
      <c r="L158" s="38"/>
      <c r="M158" s="39">
        <v>46072</v>
      </c>
      <c r="N158" s="38" t="s">
        <v>842</v>
      </c>
      <c r="O158" s="38" t="s">
        <v>390</v>
      </c>
      <c r="P158" s="38" t="s">
        <v>842</v>
      </c>
      <c r="Q158" s="38" t="s">
        <v>1559</v>
      </c>
      <c r="R158" s="38" t="s">
        <v>1585</v>
      </c>
      <c r="S158" s="38"/>
    </row>
    <row r="159" spans="1:19" ht="50.4" customHeight="1" x14ac:dyDescent="0.2">
      <c r="A159" s="47">
        <v>49793810</v>
      </c>
      <c r="B159" s="39">
        <v>46050</v>
      </c>
      <c r="C159" s="36" t="s">
        <v>847</v>
      </c>
      <c r="D159" s="47">
        <v>49793810</v>
      </c>
      <c r="E159" s="38" t="s">
        <v>349</v>
      </c>
      <c r="F159" s="37" t="s">
        <v>863</v>
      </c>
      <c r="G159" s="44">
        <v>3245608397</v>
      </c>
      <c r="H159" s="38">
        <v>4</v>
      </c>
      <c r="I159" s="38" t="s">
        <v>631</v>
      </c>
      <c r="J159" s="38" t="s">
        <v>631</v>
      </c>
      <c r="K159" s="38" t="s">
        <v>854</v>
      </c>
      <c r="L159" s="38"/>
      <c r="M159" s="39">
        <v>46062</v>
      </c>
      <c r="N159" s="38" t="s">
        <v>842</v>
      </c>
      <c r="O159" s="38" t="s">
        <v>390</v>
      </c>
      <c r="P159" s="38" t="s">
        <v>843</v>
      </c>
      <c r="Q159" s="38" t="s">
        <v>1561</v>
      </c>
      <c r="R159" s="38"/>
      <c r="S159" s="38"/>
    </row>
    <row r="160" spans="1:19" ht="50.4" customHeight="1" x14ac:dyDescent="0.3">
      <c r="A160" s="47">
        <v>50898623</v>
      </c>
      <c r="B160" s="39">
        <v>46097</v>
      </c>
      <c r="C160" s="38" t="s">
        <v>1421</v>
      </c>
      <c r="D160" s="47">
        <v>50898623</v>
      </c>
      <c r="E160" s="38" t="s">
        <v>349</v>
      </c>
      <c r="F160" s="37" t="s">
        <v>1454</v>
      </c>
      <c r="G160" s="38">
        <v>3113886665</v>
      </c>
      <c r="H160" s="38">
        <v>1</v>
      </c>
      <c r="I160" s="38" t="s">
        <v>641</v>
      </c>
      <c r="J160" s="38" t="e">
        <v>#REF!</v>
      </c>
      <c r="K160" s="38" t="s">
        <v>1418</v>
      </c>
      <c r="L160" s="38"/>
      <c r="M160" s="39"/>
      <c r="N160" s="38" t="s">
        <v>842</v>
      </c>
      <c r="O160" s="38" t="s">
        <v>390</v>
      </c>
      <c r="P160" s="38" t="s">
        <v>843</v>
      </c>
      <c r="Q160" s="38"/>
      <c r="R160" s="38"/>
      <c r="S160" s="38"/>
    </row>
    <row r="161" spans="1:19" ht="50.4" customHeight="1" x14ac:dyDescent="0.3">
      <c r="A161" s="47">
        <v>50904552</v>
      </c>
      <c r="B161" s="39">
        <v>46041</v>
      </c>
      <c r="C161" s="36" t="s">
        <v>429</v>
      </c>
      <c r="D161" s="47">
        <v>50904552</v>
      </c>
      <c r="E161" s="36" t="s">
        <v>349</v>
      </c>
      <c r="F161" s="37" t="s">
        <v>430</v>
      </c>
      <c r="G161" s="38">
        <v>3023393772</v>
      </c>
      <c r="H161" s="38">
        <v>1</v>
      </c>
      <c r="I161" s="38" t="s">
        <v>641</v>
      </c>
      <c r="J161" s="38" t="s">
        <v>722</v>
      </c>
      <c r="K161" s="38" t="s">
        <v>407</v>
      </c>
      <c r="L161" s="38"/>
      <c r="M161" s="39">
        <v>46049</v>
      </c>
      <c r="N161" s="38" t="s">
        <v>842</v>
      </c>
      <c r="O161" s="38" t="s">
        <v>390</v>
      </c>
      <c r="P161" s="38" t="s">
        <v>843</v>
      </c>
      <c r="Q161" s="38" t="s">
        <v>1560</v>
      </c>
      <c r="R161" s="38"/>
      <c r="S161" s="38" t="s">
        <v>1596</v>
      </c>
    </row>
    <row r="162" spans="1:19" ht="50.4" hidden="1" customHeight="1" x14ac:dyDescent="0.2">
      <c r="A162" s="47"/>
      <c r="B162" s="39">
        <v>46161</v>
      </c>
      <c r="C162" s="58" t="s">
        <v>1729</v>
      </c>
      <c r="D162" s="58">
        <v>50932717</v>
      </c>
      <c r="E162" s="58" t="s">
        <v>1727</v>
      </c>
      <c r="F162" s="59" t="s">
        <v>1748</v>
      </c>
      <c r="G162" s="58" t="s">
        <v>1757</v>
      </c>
      <c r="H162" s="60">
        <v>1</v>
      </c>
      <c r="I162" s="38"/>
      <c r="J162" s="38"/>
      <c r="K162" s="57" t="s">
        <v>1760</v>
      </c>
      <c r="L162" s="38"/>
      <c r="M162" s="39">
        <v>46163</v>
      </c>
      <c r="N162" s="38" t="s">
        <v>1705</v>
      </c>
      <c r="O162" s="38"/>
      <c r="P162" s="38"/>
      <c r="Q162" s="38"/>
      <c r="R162" s="38"/>
      <c r="S162" s="38"/>
    </row>
    <row r="163" spans="1:19" ht="50.4" hidden="1" customHeight="1" x14ac:dyDescent="0.2">
      <c r="A163" s="47"/>
      <c r="B163" s="39">
        <v>46161</v>
      </c>
      <c r="C163" s="58" t="s">
        <v>1715</v>
      </c>
      <c r="D163" s="58">
        <v>50954430</v>
      </c>
      <c r="E163" s="58" t="s">
        <v>1714</v>
      </c>
      <c r="F163" s="59" t="s">
        <v>1735</v>
      </c>
      <c r="G163" s="58" t="s">
        <v>1752</v>
      </c>
      <c r="H163" s="60">
        <v>1</v>
      </c>
      <c r="I163" s="38"/>
      <c r="J163" s="38"/>
      <c r="K163" s="57" t="s">
        <v>1760</v>
      </c>
      <c r="L163" s="38"/>
      <c r="M163" s="39">
        <v>46163</v>
      </c>
      <c r="N163" s="38" t="s">
        <v>1705</v>
      </c>
      <c r="O163" s="38"/>
      <c r="P163" s="38"/>
      <c r="Q163" s="38"/>
      <c r="R163" s="38"/>
      <c r="S163" s="38"/>
    </row>
    <row r="164" spans="1:19" ht="50.4" customHeight="1" x14ac:dyDescent="0.3">
      <c r="A164" s="47">
        <v>51768106</v>
      </c>
      <c r="B164" s="39">
        <v>46056</v>
      </c>
      <c r="C164" s="36" t="s">
        <v>872</v>
      </c>
      <c r="D164" s="47">
        <v>51768106</v>
      </c>
      <c r="E164" s="38" t="s">
        <v>101</v>
      </c>
      <c r="F164" s="37" t="s">
        <v>891</v>
      </c>
      <c r="G164" s="38" t="s">
        <v>908</v>
      </c>
      <c r="H164" s="38">
        <v>4</v>
      </c>
      <c r="I164" s="38" t="s">
        <v>661</v>
      </c>
      <c r="J164" s="38" t="s">
        <v>662</v>
      </c>
      <c r="K164" s="38" t="s">
        <v>870</v>
      </c>
      <c r="L164" s="38"/>
      <c r="M164" s="39">
        <v>46062</v>
      </c>
      <c r="N164" s="38" t="s">
        <v>842</v>
      </c>
      <c r="O164" s="38" t="s">
        <v>390</v>
      </c>
      <c r="P164" s="38" t="s">
        <v>842</v>
      </c>
      <c r="Q164" s="38" t="s">
        <v>1559</v>
      </c>
      <c r="R164" s="38"/>
      <c r="S164" s="38"/>
    </row>
    <row r="165" spans="1:19" ht="50.4" customHeight="1" x14ac:dyDescent="0.3">
      <c r="A165" s="47">
        <v>52089350</v>
      </c>
      <c r="B165" s="39">
        <v>46097</v>
      </c>
      <c r="C165" s="38" t="s">
        <v>1409</v>
      </c>
      <c r="D165" s="47">
        <v>52089350</v>
      </c>
      <c r="E165" s="38" t="s">
        <v>349</v>
      </c>
      <c r="F165" s="37" t="s">
        <v>1415</v>
      </c>
      <c r="G165" s="38">
        <v>3213664209</v>
      </c>
      <c r="H165" s="38">
        <v>2</v>
      </c>
      <c r="I165" s="38" t="s">
        <v>631</v>
      </c>
      <c r="J165" s="38" t="s">
        <v>631</v>
      </c>
      <c r="K165" s="38"/>
      <c r="L165" s="38" t="s">
        <v>1416</v>
      </c>
      <c r="M165" s="39"/>
      <c r="N165" s="38" t="s">
        <v>843</v>
      </c>
      <c r="O165" s="38" t="s">
        <v>390</v>
      </c>
      <c r="P165" s="38" t="s">
        <v>843</v>
      </c>
      <c r="Q165" s="38"/>
      <c r="R165" s="38"/>
      <c r="S165" s="38"/>
    </row>
    <row r="166" spans="1:19" ht="50.4" customHeight="1" x14ac:dyDescent="0.3">
      <c r="A166" s="47">
        <v>52155915</v>
      </c>
      <c r="B166" s="39">
        <v>46038</v>
      </c>
      <c r="C166" s="36" t="s">
        <v>580</v>
      </c>
      <c r="D166" s="47">
        <v>52155915</v>
      </c>
      <c r="E166" s="36" t="s">
        <v>349</v>
      </c>
      <c r="F166" s="37" t="s">
        <v>477</v>
      </c>
      <c r="G166" s="38" t="s">
        <v>478</v>
      </c>
      <c r="H166" s="38">
        <v>4</v>
      </c>
      <c r="I166" s="38" t="s">
        <v>631</v>
      </c>
      <c r="J166" s="38" t="s">
        <v>631</v>
      </c>
      <c r="K166" s="38" t="s">
        <v>479</v>
      </c>
      <c r="L166" s="38"/>
      <c r="M166" s="39">
        <v>46049</v>
      </c>
      <c r="N166" s="38" t="s">
        <v>842</v>
      </c>
      <c r="O166" s="38" t="s">
        <v>390</v>
      </c>
      <c r="P166" s="38" t="s">
        <v>842</v>
      </c>
      <c r="Q166" s="38" t="s">
        <v>1559</v>
      </c>
      <c r="R166" s="38"/>
      <c r="S166" s="38" t="s">
        <v>479</v>
      </c>
    </row>
    <row r="167" spans="1:19" ht="50.4" hidden="1" customHeight="1" x14ac:dyDescent="0.3">
      <c r="A167" s="47">
        <v>52216823</v>
      </c>
      <c r="B167" s="50">
        <v>46029</v>
      </c>
      <c r="C167" s="36" t="s">
        <v>15</v>
      </c>
      <c r="D167" s="47">
        <v>52216823</v>
      </c>
      <c r="E167" s="36" t="s">
        <v>384</v>
      </c>
      <c r="F167" s="37" t="s">
        <v>16</v>
      </c>
      <c r="G167" s="41" t="s">
        <v>17</v>
      </c>
      <c r="H167" s="36">
        <v>4</v>
      </c>
      <c r="I167" s="38" t="s">
        <v>631</v>
      </c>
      <c r="J167" s="38" t="s">
        <v>631</v>
      </c>
      <c r="K167" s="36" t="s">
        <v>259</v>
      </c>
      <c r="L167" s="36"/>
      <c r="M167" s="39">
        <v>46035</v>
      </c>
      <c r="N167" s="38" t="s">
        <v>842</v>
      </c>
      <c r="O167" s="38" t="s">
        <v>380</v>
      </c>
      <c r="P167" s="38" t="s">
        <v>842</v>
      </c>
      <c r="Q167" s="38" t="s">
        <v>1559</v>
      </c>
      <c r="R167" s="38"/>
      <c r="S167" s="38" t="s">
        <v>259</v>
      </c>
    </row>
    <row r="168" spans="1:19" ht="50.4" customHeight="1" x14ac:dyDescent="0.3">
      <c r="A168" s="47">
        <v>52286867</v>
      </c>
      <c r="B168" s="39">
        <v>46097</v>
      </c>
      <c r="C168" s="38" t="s">
        <v>1420</v>
      </c>
      <c r="D168" s="47">
        <v>52286867</v>
      </c>
      <c r="E168" s="38" t="s">
        <v>101</v>
      </c>
      <c r="F168" s="37" t="s">
        <v>1452</v>
      </c>
      <c r="G168" s="38" t="s">
        <v>1453</v>
      </c>
      <c r="H168" s="38">
        <v>4</v>
      </c>
      <c r="I168" s="38" t="s">
        <v>1602</v>
      </c>
      <c r="J168" s="38" t="e">
        <v>#REF!</v>
      </c>
      <c r="K168" s="38" t="s">
        <v>1418</v>
      </c>
      <c r="L168" s="38"/>
      <c r="M168" s="39"/>
      <c r="N168" s="38" t="s">
        <v>842</v>
      </c>
      <c r="O168" s="38" t="s">
        <v>390</v>
      </c>
      <c r="P168" s="38" t="s">
        <v>842</v>
      </c>
      <c r="Q168" s="38"/>
      <c r="R168" s="38"/>
      <c r="S168" s="38"/>
    </row>
    <row r="169" spans="1:19" ht="50.4" hidden="1" customHeight="1" x14ac:dyDescent="0.3">
      <c r="A169" s="47">
        <v>52315830</v>
      </c>
      <c r="B169" s="50">
        <v>46029</v>
      </c>
      <c r="C169" s="36" t="s">
        <v>72</v>
      </c>
      <c r="D169" s="47">
        <v>52315830</v>
      </c>
      <c r="E169" s="36" t="s">
        <v>384</v>
      </c>
      <c r="F169" s="37" t="s">
        <v>73</v>
      </c>
      <c r="G169" s="36">
        <v>3142826978</v>
      </c>
      <c r="H169" s="36">
        <v>4</v>
      </c>
      <c r="I169" s="38" t="s">
        <v>631</v>
      </c>
      <c r="J169" s="38" t="s">
        <v>631</v>
      </c>
      <c r="K169" s="36" t="s">
        <v>258</v>
      </c>
      <c r="L169" s="36"/>
      <c r="M169" s="39">
        <v>46035</v>
      </c>
      <c r="N169" s="38" t="s">
        <v>842</v>
      </c>
      <c r="O169" s="38" t="s">
        <v>380</v>
      </c>
      <c r="P169" s="38" t="s">
        <v>842</v>
      </c>
      <c r="Q169" s="38" t="s">
        <v>1559</v>
      </c>
      <c r="R169" s="38"/>
      <c r="S169" s="38" t="s">
        <v>258</v>
      </c>
    </row>
    <row r="170" spans="1:19" ht="50.4" hidden="1" customHeight="1" x14ac:dyDescent="0.3">
      <c r="A170" s="47">
        <v>52341322</v>
      </c>
      <c r="B170" s="39">
        <v>46056</v>
      </c>
      <c r="C170" s="36" t="s">
        <v>953</v>
      </c>
      <c r="D170" s="47">
        <v>52341322</v>
      </c>
      <c r="E170" s="38" t="s">
        <v>261</v>
      </c>
      <c r="F170" s="37" t="s">
        <v>964</v>
      </c>
      <c r="G170" s="38">
        <v>3057884069</v>
      </c>
      <c r="H170" s="38">
        <v>4</v>
      </c>
      <c r="I170" s="38" t="s">
        <v>631</v>
      </c>
      <c r="J170" s="38" t="s">
        <v>631</v>
      </c>
      <c r="K170" s="38" t="s">
        <v>942</v>
      </c>
      <c r="L170" s="38"/>
      <c r="M170" s="39">
        <v>46063</v>
      </c>
      <c r="N170" s="38" t="s">
        <v>842</v>
      </c>
      <c r="O170" s="38" t="s">
        <v>380</v>
      </c>
      <c r="P170" s="38" t="s">
        <v>843</v>
      </c>
      <c r="Q170" s="38" t="s">
        <v>1561</v>
      </c>
      <c r="R170" s="38"/>
      <c r="S170" s="38"/>
    </row>
    <row r="171" spans="1:19" ht="50.4" customHeight="1" x14ac:dyDescent="0.2">
      <c r="A171" s="47">
        <v>52360169</v>
      </c>
      <c r="B171" s="48">
        <v>46045</v>
      </c>
      <c r="C171" s="36" t="s">
        <v>737</v>
      </c>
      <c r="D171" s="47">
        <v>52360169</v>
      </c>
      <c r="E171" s="36" t="s">
        <v>349</v>
      </c>
      <c r="F171" s="37" t="s">
        <v>738</v>
      </c>
      <c r="G171" s="36">
        <v>3118555568</v>
      </c>
      <c r="H171" s="52">
        <v>4</v>
      </c>
      <c r="I171" s="38" t="s">
        <v>631</v>
      </c>
      <c r="J171" s="38" t="s">
        <v>631</v>
      </c>
      <c r="K171" s="52"/>
      <c r="L171" s="52" t="s">
        <v>837</v>
      </c>
      <c r="M171" s="39">
        <v>46062</v>
      </c>
      <c r="N171" s="38" t="s">
        <v>843</v>
      </c>
      <c r="O171" s="38" t="s">
        <v>390</v>
      </c>
      <c r="P171" s="38" t="s">
        <v>843</v>
      </c>
      <c r="Q171" s="38" t="s">
        <v>1558</v>
      </c>
      <c r="R171" s="38"/>
      <c r="S171" s="38"/>
    </row>
    <row r="172" spans="1:19" ht="50.4" customHeight="1" x14ac:dyDescent="0.2">
      <c r="A172" s="47">
        <v>52361261</v>
      </c>
      <c r="B172" s="48">
        <v>46050</v>
      </c>
      <c r="C172" s="36" t="s">
        <v>739</v>
      </c>
      <c r="D172" s="47">
        <v>52361261</v>
      </c>
      <c r="E172" s="36" t="s">
        <v>349</v>
      </c>
      <c r="F172" s="37" t="s">
        <v>740</v>
      </c>
      <c r="G172" s="36">
        <v>3154236477</v>
      </c>
      <c r="H172" s="52">
        <v>4</v>
      </c>
      <c r="I172" s="38" t="s">
        <v>631</v>
      </c>
      <c r="J172" s="38" t="s">
        <v>631</v>
      </c>
      <c r="K172" s="52" t="s">
        <v>834</v>
      </c>
      <c r="L172" s="52"/>
      <c r="M172" s="39">
        <v>46062</v>
      </c>
      <c r="N172" s="38" t="s">
        <v>842</v>
      </c>
      <c r="O172" s="38" t="s">
        <v>390</v>
      </c>
      <c r="P172" s="38" t="s">
        <v>843</v>
      </c>
      <c r="Q172" s="38" t="s">
        <v>1561</v>
      </c>
      <c r="R172" s="38"/>
      <c r="S172" s="38" t="s">
        <v>834</v>
      </c>
    </row>
    <row r="173" spans="1:19" ht="50.4" hidden="1" customHeight="1" x14ac:dyDescent="0.3">
      <c r="A173" s="47">
        <v>52366634</v>
      </c>
      <c r="B173" s="48">
        <v>46017</v>
      </c>
      <c r="C173" s="36" t="s">
        <v>234</v>
      </c>
      <c r="D173" s="47">
        <v>52366634</v>
      </c>
      <c r="E173" s="36" t="s">
        <v>381</v>
      </c>
      <c r="F173" s="37" t="s">
        <v>235</v>
      </c>
      <c r="G173" s="36" t="s">
        <v>236</v>
      </c>
      <c r="H173" s="36">
        <v>4</v>
      </c>
      <c r="I173" s="38" t="s">
        <v>631</v>
      </c>
      <c r="J173" s="38" t="s">
        <v>631</v>
      </c>
      <c r="K173" s="36" t="s">
        <v>242</v>
      </c>
      <c r="L173" s="36"/>
      <c r="M173" s="39">
        <v>46035</v>
      </c>
      <c r="N173" s="38" t="s">
        <v>842</v>
      </c>
      <c r="O173" s="38" t="s">
        <v>380</v>
      </c>
      <c r="P173" s="38" t="s">
        <v>842</v>
      </c>
      <c r="Q173" s="38" t="s">
        <v>1559</v>
      </c>
      <c r="R173" s="38"/>
      <c r="S173" s="38" t="s">
        <v>242</v>
      </c>
    </row>
    <row r="174" spans="1:19" ht="50.4" customHeight="1" x14ac:dyDescent="0.3">
      <c r="A174" s="47">
        <v>52396181</v>
      </c>
      <c r="B174" s="39">
        <v>46062</v>
      </c>
      <c r="C174" s="36" t="s">
        <v>1094</v>
      </c>
      <c r="D174" s="47">
        <v>52396181</v>
      </c>
      <c r="E174" s="38" t="s">
        <v>349</v>
      </c>
      <c r="F174" s="37" t="s">
        <v>1095</v>
      </c>
      <c r="G174" s="38">
        <v>3151000799</v>
      </c>
      <c r="H174" s="38">
        <v>4</v>
      </c>
      <c r="I174" s="38" t="s">
        <v>631</v>
      </c>
      <c r="J174" s="38" t="s">
        <v>631</v>
      </c>
      <c r="K174" s="38" t="s">
        <v>1064</v>
      </c>
      <c r="L174" s="38"/>
      <c r="M174" s="39">
        <v>46072</v>
      </c>
      <c r="N174" s="38" t="s">
        <v>842</v>
      </c>
      <c r="O174" s="38" t="s">
        <v>390</v>
      </c>
      <c r="P174" s="38" t="s">
        <v>843</v>
      </c>
      <c r="Q174" s="38" t="s">
        <v>1561</v>
      </c>
      <c r="R174" s="38"/>
      <c r="S174" s="38"/>
    </row>
    <row r="175" spans="1:19" ht="50.4" customHeight="1" x14ac:dyDescent="0.2">
      <c r="A175" s="47">
        <v>52397234</v>
      </c>
      <c r="B175" s="39">
        <v>46050</v>
      </c>
      <c r="C175" s="36" t="s">
        <v>848</v>
      </c>
      <c r="D175" s="47">
        <v>52397234</v>
      </c>
      <c r="E175" s="38" t="s">
        <v>349</v>
      </c>
      <c r="F175" s="37" t="s">
        <v>857</v>
      </c>
      <c r="G175" s="44">
        <v>3144212963</v>
      </c>
      <c r="H175" s="38">
        <v>3</v>
      </c>
      <c r="I175" s="38" t="s">
        <v>679</v>
      </c>
      <c r="J175" s="38" t="s">
        <v>680</v>
      </c>
      <c r="K175" s="38" t="s">
        <v>854</v>
      </c>
      <c r="L175" s="38"/>
      <c r="M175" s="39">
        <v>46062</v>
      </c>
      <c r="N175" s="38" t="s">
        <v>842</v>
      </c>
      <c r="O175" s="38" t="s">
        <v>390</v>
      </c>
      <c r="P175" s="38" t="s">
        <v>843</v>
      </c>
      <c r="Q175" s="38" t="s">
        <v>1561</v>
      </c>
      <c r="R175" s="38"/>
      <c r="S175" s="38"/>
    </row>
    <row r="176" spans="1:19" ht="50.4" customHeight="1" x14ac:dyDescent="0.3">
      <c r="A176" s="47">
        <v>52485015</v>
      </c>
      <c r="B176" s="39">
        <v>46062</v>
      </c>
      <c r="C176" s="36" t="s">
        <v>1101</v>
      </c>
      <c r="D176" s="47">
        <v>52485015</v>
      </c>
      <c r="E176" s="38" t="s">
        <v>349</v>
      </c>
      <c r="F176" s="37" t="s">
        <v>1102</v>
      </c>
      <c r="G176" s="38" t="s">
        <v>1103</v>
      </c>
      <c r="H176" s="38">
        <v>4</v>
      </c>
      <c r="I176" s="38" t="s">
        <v>631</v>
      </c>
      <c r="J176" s="38" t="s">
        <v>631</v>
      </c>
      <c r="K176" s="38" t="s">
        <v>1064</v>
      </c>
      <c r="L176" s="38"/>
      <c r="M176" s="39">
        <v>46072</v>
      </c>
      <c r="N176" s="38" t="s">
        <v>842</v>
      </c>
      <c r="O176" s="38" t="s">
        <v>390</v>
      </c>
      <c r="P176" s="38" t="s">
        <v>843</v>
      </c>
      <c r="Q176" s="38" t="s">
        <v>1561</v>
      </c>
      <c r="R176" s="38"/>
      <c r="S176" s="38"/>
    </row>
    <row r="177" spans="1:19" ht="50.4" customHeight="1" x14ac:dyDescent="0.3">
      <c r="A177" s="47">
        <v>52693344</v>
      </c>
      <c r="B177" s="39">
        <v>46032</v>
      </c>
      <c r="C177" s="36" t="s">
        <v>294</v>
      </c>
      <c r="D177" s="47">
        <v>52693344</v>
      </c>
      <c r="E177" s="36" t="s">
        <v>349</v>
      </c>
      <c r="F177" s="37" t="s">
        <v>295</v>
      </c>
      <c r="G177" s="38">
        <v>3229398022</v>
      </c>
      <c r="H177" s="38">
        <v>4</v>
      </c>
      <c r="I177" s="38" t="s">
        <v>631</v>
      </c>
      <c r="J177" s="38" t="s">
        <v>631</v>
      </c>
      <c r="K177" s="38" t="s">
        <v>452</v>
      </c>
      <c r="L177" s="38"/>
      <c r="M177" s="39">
        <v>46049</v>
      </c>
      <c r="N177" s="38" t="s">
        <v>842</v>
      </c>
      <c r="O177" s="38" t="s">
        <v>390</v>
      </c>
      <c r="P177" s="38" t="s">
        <v>842</v>
      </c>
      <c r="Q177" s="38" t="s">
        <v>1559</v>
      </c>
      <c r="R177" s="38" t="s">
        <v>1565</v>
      </c>
      <c r="S177" s="38" t="s">
        <v>452</v>
      </c>
    </row>
    <row r="178" spans="1:19" ht="50.4" customHeight="1" x14ac:dyDescent="0.2">
      <c r="A178" s="47">
        <v>52708716</v>
      </c>
      <c r="B178" s="48">
        <v>46050</v>
      </c>
      <c r="C178" s="36" t="s">
        <v>741</v>
      </c>
      <c r="D178" s="47">
        <v>52708716</v>
      </c>
      <c r="E178" s="36" t="s">
        <v>349</v>
      </c>
      <c r="F178" s="37" t="s">
        <v>742</v>
      </c>
      <c r="G178" s="36">
        <v>3174800165</v>
      </c>
      <c r="H178" s="52">
        <v>4</v>
      </c>
      <c r="I178" s="38" t="s">
        <v>631</v>
      </c>
      <c r="J178" s="38" t="s">
        <v>631</v>
      </c>
      <c r="K178" s="52" t="s">
        <v>834</v>
      </c>
      <c r="L178" s="52"/>
      <c r="M178" s="39">
        <v>46062</v>
      </c>
      <c r="N178" s="38" t="s">
        <v>842</v>
      </c>
      <c r="O178" s="38" t="s">
        <v>390</v>
      </c>
      <c r="P178" s="38" t="s">
        <v>843</v>
      </c>
      <c r="Q178" s="38" t="s">
        <v>1561</v>
      </c>
      <c r="R178" s="38"/>
      <c r="S178" s="38" t="s">
        <v>834</v>
      </c>
    </row>
    <row r="179" spans="1:19" ht="50.4" customHeight="1" x14ac:dyDescent="0.3">
      <c r="A179" s="47">
        <v>52764722</v>
      </c>
      <c r="B179" s="51">
        <v>46032</v>
      </c>
      <c r="C179" s="36" t="s">
        <v>544</v>
      </c>
      <c r="D179" s="47">
        <v>52764722</v>
      </c>
      <c r="E179" s="36" t="s">
        <v>101</v>
      </c>
      <c r="F179" s="37" t="s">
        <v>309</v>
      </c>
      <c r="G179" s="38" t="s">
        <v>310</v>
      </c>
      <c r="H179" s="38">
        <v>2</v>
      </c>
      <c r="I179" s="38" t="s">
        <v>631</v>
      </c>
      <c r="J179" s="38" t="s">
        <v>631</v>
      </c>
      <c r="K179" s="38" t="s">
        <v>266</v>
      </c>
      <c r="L179" s="38"/>
      <c r="M179" s="39">
        <v>46039</v>
      </c>
      <c r="N179" s="38" t="s">
        <v>842</v>
      </c>
      <c r="O179" s="38" t="s">
        <v>390</v>
      </c>
      <c r="P179" s="38" t="s">
        <v>842</v>
      </c>
      <c r="Q179" s="38" t="s">
        <v>1559</v>
      </c>
      <c r="R179" s="38"/>
      <c r="S179" s="38" t="s">
        <v>266</v>
      </c>
    </row>
    <row r="180" spans="1:19" ht="50.4" customHeight="1" x14ac:dyDescent="0.3">
      <c r="A180" s="47">
        <v>52773013</v>
      </c>
      <c r="B180" s="39">
        <v>46062</v>
      </c>
      <c r="C180" s="36" t="s">
        <v>1096</v>
      </c>
      <c r="D180" s="47">
        <v>52773013</v>
      </c>
      <c r="E180" s="38" t="s">
        <v>349</v>
      </c>
      <c r="F180" s="37" t="s">
        <v>1097</v>
      </c>
      <c r="G180" s="38" t="s">
        <v>1098</v>
      </c>
      <c r="H180" s="38">
        <v>4</v>
      </c>
      <c r="I180" s="38" t="s">
        <v>631</v>
      </c>
      <c r="J180" s="38" t="s">
        <v>631</v>
      </c>
      <c r="K180" s="38" t="s">
        <v>1064</v>
      </c>
      <c r="L180" s="38"/>
      <c r="M180" s="39">
        <v>46072</v>
      </c>
      <c r="N180" s="38" t="s">
        <v>842</v>
      </c>
      <c r="O180" s="38" t="s">
        <v>390</v>
      </c>
      <c r="P180" s="38" t="s">
        <v>843</v>
      </c>
      <c r="Q180" s="38" t="s">
        <v>1561</v>
      </c>
      <c r="R180" s="38"/>
      <c r="S180" s="38"/>
    </row>
    <row r="181" spans="1:19" ht="50.4" customHeight="1" x14ac:dyDescent="0.3">
      <c r="A181" s="47">
        <v>52817046</v>
      </c>
      <c r="B181" s="39">
        <v>46041</v>
      </c>
      <c r="C181" s="36" t="s">
        <v>437</v>
      </c>
      <c r="D181" s="47">
        <v>52817046</v>
      </c>
      <c r="E181" s="36" t="s">
        <v>349</v>
      </c>
      <c r="F181" s="37" t="s">
        <v>438</v>
      </c>
      <c r="G181" s="38">
        <v>3177858932</v>
      </c>
      <c r="H181" s="38">
        <v>2</v>
      </c>
      <c r="I181" s="38" t="s">
        <v>647</v>
      </c>
      <c r="J181" s="38" t="s">
        <v>967</v>
      </c>
      <c r="K181" s="38" t="s">
        <v>407</v>
      </c>
      <c r="L181" s="38"/>
      <c r="M181" s="39">
        <v>46049</v>
      </c>
      <c r="N181" s="38" t="s">
        <v>842</v>
      </c>
      <c r="O181" s="38" t="s">
        <v>390</v>
      </c>
      <c r="P181" s="38" t="s">
        <v>843</v>
      </c>
      <c r="Q181" s="38" t="s">
        <v>1560</v>
      </c>
      <c r="R181" s="38"/>
      <c r="S181" s="38" t="s">
        <v>407</v>
      </c>
    </row>
    <row r="182" spans="1:19" ht="50.4" customHeight="1" x14ac:dyDescent="0.3">
      <c r="A182" s="47">
        <v>52821012</v>
      </c>
      <c r="B182" s="39">
        <v>46056</v>
      </c>
      <c r="C182" s="36" t="s">
        <v>945</v>
      </c>
      <c r="D182" s="47">
        <v>52821012</v>
      </c>
      <c r="E182" s="38" t="s">
        <v>101</v>
      </c>
      <c r="F182" s="37" t="s">
        <v>954</v>
      </c>
      <c r="G182" s="38" t="s">
        <v>955</v>
      </c>
      <c r="H182" s="38">
        <v>4</v>
      </c>
      <c r="I182" s="38" t="s">
        <v>631</v>
      </c>
      <c r="J182" s="38" t="s">
        <v>631</v>
      </c>
      <c r="K182" s="38" t="s">
        <v>942</v>
      </c>
      <c r="L182" s="38"/>
      <c r="M182" s="39">
        <v>46063</v>
      </c>
      <c r="N182" s="38" t="s">
        <v>842</v>
      </c>
      <c r="O182" s="38" t="s">
        <v>390</v>
      </c>
      <c r="P182" s="38" t="s">
        <v>843</v>
      </c>
      <c r="Q182" s="38" t="s">
        <v>1561</v>
      </c>
      <c r="R182" s="38"/>
      <c r="S182" s="38"/>
    </row>
    <row r="183" spans="1:19" ht="50.4" customHeight="1" x14ac:dyDescent="0.3">
      <c r="A183" s="47">
        <v>52829301</v>
      </c>
      <c r="B183" s="39">
        <v>46041</v>
      </c>
      <c r="C183" s="36" t="s">
        <v>519</v>
      </c>
      <c r="D183" s="47">
        <v>52829301</v>
      </c>
      <c r="E183" s="36" t="s">
        <v>349</v>
      </c>
      <c r="F183" s="37" t="s">
        <v>520</v>
      </c>
      <c r="G183" s="38">
        <v>3212603917</v>
      </c>
      <c r="H183" s="38">
        <v>4</v>
      </c>
      <c r="I183" s="38" t="s">
        <v>631</v>
      </c>
      <c r="J183" s="38" t="s">
        <v>631</v>
      </c>
      <c r="K183" s="38" t="s">
        <v>509</v>
      </c>
      <c r="L183" s="38"/>
      <c r="M183" s="39">
        <v>46049</v>
      </c>
      <c r="N183" s="38" t="s">
        <v>842</v>
      </c>
      <c r="O183" s="38" t="s">
        <v>390</v>
      </c>
      <c r="P183" s="38" t="s">
        <v>842</v>
      </c>
      <c r="Q183" s="38" t="s">
        <v>1559</v>
      </c>
      <c r="R183" s="38"/>
      <c r="S183" s="38" t="s">
        <v>509</v>
      </c>
    </row>
    <row r="184" spans="1:19" ht="50.4" customHeight="1" x14ac:dyDescent="0.3">
      <c r="A184" s="47">
        <v>52838707</v>
      </c>
      <c r="B184" s="39" t="s">
        <v>1417</v>
      </c>
      <c r="C184" s="36" t="s">
        <v>1222</v>
      </c>
      <c r="D184" s="47">
        <v>52838707</v>
      </c>
      <c r="E184" s="38" t="s">
        <v>349</v>
      </c>
      <c r="F184" s="37" t="s">
        <v>1475</v>
      </c>
      <c r="G184" s="38" t="s">
        <v>1223</v>
      </c>
      <c r="H184" s="38">
        <v>4</v>
      </c>
      <c r="I184" s="38" t="s">
        <v>631</v>
      </c>
      <c r="J184" s="38" t="s">
        <v>631</v>
      </c>
      <c r="K184" s="38" t="s">
        <v>1418</v>
      </c>
      <c r="L184" s="38" t="s">
        <v>1196</v>
      </c>
      <c r="M184" s="39">
        <v>46076</v>
      </c>
      <c r="N184" s="38" t="s">
        <v>842</v>
      </c>
      <c r="O184" s="38" t="s">
        <v>390</v>
      </c>
      <c r="P184" s="38" t="s">
        <v>1555</v>
      </c>
      <c r="Q184" s="38" t="s">
        <v>1558</v>
      </c>
      <c r="R184" s="38"/>
      <c r="S184" s="38"/>
    </row>
    <row r="185" spans="1:19" ht="50.4" customHeight="1" x14ac:dyDescent="0.3">
      <c r="A185" s="47">
        <v>52880720</v>
      </c>
      <c r="B185" s="39">
        <v>46056</v>
      </c>
      <c r="C185" s="36" t="s">
        <v>877</v>
      </c>
      <c r="D185" s="47">
        <v>52880720</v>
      </c>
      <c r="E185" s="38" t="s">
        <v>101</v>
      </c>
      <c r="F185" s="37" t="s">
        <v>896</v>
      </c>
      <c r="G185" s="38">
        <v>3202201882</v>
      </c>
      <c r="H185" s="38">
        <v>4</v>
      </c>
      <c r="I185" s="38" t="s">
        <v>631</v>
      </c>
      <c r="J185" s="38" t="s">
        <v>631</v>
      </c>
      <c r="K185" s="38" t="s">
        <v>870</v>
      </c>
      <c r="L185" s="38"/>
      <c r="M185" s="39">
        <v>46062</v>
      </c>
      <c r="N185" s="38" t="s">
        <v>842</v>
      </c>
      <c r="O185" s="38" t="s">
        <v>390</v>
      </c>
      <c r="P185" s="38" t="s">
        <v>843</v>
      </c>
      <c r="Q185" s="38" t="s">
        <v>1561</v>
      </c>
      <c r="R185" s="38"/>
      <c r="S185" s="38"/>
    </row>
    <row r="186" spans="1:19" ht="50.4" customHeight="1" x14ac:dyDescent="0.3">
      <c r="A186" s="47">
        <v>52959552</v>
      </c>
      <c r="B186" s="39">
        <v>46097</v>
      </c>
      <c r="C186" s="38" t="s">
        <v>1438</v>
      </c>
      <c r="D186" s="47">
        <v>52959552</v>
      </c>
      <c r="E186" s="36" t="s">
        <v>101</v>
      </c>
      <c r="F186" s="37" t="s">
        <v>1472</v>
      </c>
      <c r="G186" s="38" t="s">
        <v>1473</v>
      </c>
      <c r="H186" s="38">
        <v>4</v>
      </c>
      <c r="I186" s="38" t="s">
        <v>972</v>
      </c>
      <c r="J186" s="38" t="e">
        <v>#REF!</v>
      </c>
      <c r="K186" s="38" t="s">
        <v>1418</v>
      </c>
      <c r="L186" s="38"/>
      <c r="M186" s="39"/>
      <c r="N186" s="38" t="s">
        <v>842</v>
      </c>
      <c r="O186" s="38" t="s">
        <v>390</v>
      </c>
      <c r="P186" s="38" t="s">
        <v>842</v>
      </c>
      <c r="Q186" s="38"/>
      <c r="R186" s="38"/>
      <c r="S186" s="38"/>
    </row>
    <row r="187" spans="1:19" ht="50.4" customHeight="1" x14ac:dyDescent="0.2">
      <c r="A187" s="47">
        <v>52967891</v>
      </c>
      <c r="B187" s="48">
        <v>46050</v>
      </c>
      <c r="C187" s="36" t="s">
        <v>743</v>
      </c>
      <c r="D187" s="47">
        <v>52967891</v>
      </c>
      <c r="E187" s="36" t="s">
        <v>349</v>
      </c>
      <c r="F187" s="37" t="s">
        <v>744</v>
      </c>
      <c r="G187" s="36">
        <v>3150050280</v>
      </c>
      <c r="H187" s="52">
        <v>4</v>
      </c>
      <c r="I187" s="38" t="s">
        <v>631</v>
      </c>
      <c r="J187" s="38" t="s">
        <v>631</v>
      </c>
      <c r="K187" s="52" t="s">
        <v>834</v>
      </c>
      <c r="L187" s="52"/>
      <c r="M187" s="39">
        <v>46062</v>
      </c>
      <c r="N187" s="38" t="s">
        <v>842</v>
      </c>
      <c r="O187" s="38" t="s">
        <v>390</v>
      </c>
      <c r="P187" s="38" t="s">
        <v>843</v>
      </c>
      <c r="Q187" s="38" t="s">
        <v>1561</v>
      </c>
      <c r="R187" s="38" t="s">
        <v>1581</v>
      </c>
      <c r="S187" s="38" t="s">
        <v>834</v>
      </c>
    </row>
    <row r="188" spans="1:19" ht="50.4" customHeight="1" x14ac:dyDescent="0.2">
      <c r="A188" s="47">
        <v>53079677</v>
      </c>
      <c r="B188" s="48">
        <v>46050</v>
      </c>
      <c r="C188" s="36" t="s">
        <v>745</v>
      </c>
      <c r="D188" s="47">
        <v>53079677</v>
      </c>
      <c r="E188" s="36" t="s">
        <v>349</v>
      </c>
      <c r="F188" s="37" t="s">
        <v>746</v>
      </c>
      <c r="G188" s="36">
        <v>3214941301</v>
      </c>
      <c r="H188" s="52">
        <v>4</v>
      </c>
      <c r="I188" s="38" t="s">
        <v>631</v>
      </c>
      <c r="J188" s="38" t="s">
        <v>631</v>
      </c>
      <c r="K188" s="52" t="s">
        <v>834</v>
      </c>
      <c r="L188" s="52"/>
      <c r="M188" s="39">
        <v>46062</v>
      </c>
      <c r="N188" s="38" t="s">
        <v>842</v>
      </c>
      <c r="O188" s="38" t="s">
        <v>390</v>
      </c>
      <c r="P188" s="38" t="s">
        <v>843</v>
      </c>
      <c r="Q188" s="38" t="s">
        <v>1561</v>
      </c>
      <c r="R188" s="38"/>
      <c r="S188" s="38" t="s">
        <v>834</v>
      </c>
    </row>
    <row r="189" spans="1:19" ht="50.4" customHeight="1" x14ac:dyDescent="0.3">
      <c r="A189" s="47">
        <v>53131354</v>
      </c>
      <c r="B189" s="39">
        <v>46038</v>
      </c>
      <c r="C189" s="36" t="s">
        <v>362</v>
      </c>
      <c r="D189" s="47">
        <v>53131354</v>
      </c>
      <c r="E189" s="36" t="s">
        <v>349</v>
      </c>
      <c r="F189" s="37" t="s">
        <v>375</v>
      </c>
      <c r="G189" s="38">
        <v>3142490083</v>
      </c>
      <c r="H189" s="38">
        <v>4</v>
      </c>
      <c r="I189" s="38" t="s">
        <v>631</v>
      </c>
      <c r="J189" s="38" t="s">
        <v>631</v>
      </c>
      <c r="K189" s="38" t="s">
        <v>363</v>
      </c>
      <c r="L189" s="38"/>
      <c r="M189" s="39">
        <v>46049</v>
      </c>
      <c r="N189" s="38" t="s">
        <v>842</v>
      </c>
      <c r="O189" s="38" t="s">
        <v>390</v>
      </c>
      <c r="P189" s="38" t="s">
        <v>842</v>
      </c>
      <c r="Q189" s="38" t="s">
        <v>1559</v>
      </c>
      <c r="R189" s="38"/>
      <c r="S189" s="38" t="s">
        <v>363</v>
      </c>
    </row>
    <row r="190" spans="1:19" ht="50.4" customHeight="1" x14ac:dyDescent="0.3">
      <c r="A190" s="47">
        <v>53154152</v>
      </c>
      <c r="B190" s="39">
        <v>46056</v>
      </c>
      <c r="C190" s="36" t="s">
        <v>885</v>
      </c>
      <c r="D190" s="47">
        <v>53154152</v>
      </c>
      <c r="E190" s="38" t="s">
        <v>101</v>
      </c>
      <c r="F190" s="37" t="s">
        <v>904</v>
      </c>
      <c r="G190" s="38">
        <v>3112112428</v>
      </c>
      <c r="H190" s="38">
        <v>4</v>
      </c>
      <c r="I190" s="38" t="s">
        <v>631</v>
      </c>
      <c r="J190" s="38" t="s">
        <v>631</v>
      </c>
      <c r="K190" s="38" t="s">
        <v>927</v>
      </c>
      <c r="L190" s="38"/>
      <c r="M190" s="39">
        <v>46062</v>
      </c>
      <c r="N190" s="38" t="s">
        <v>842</v>
      </c>
      <c r="O190" s="38" t="s">
        <v>390</v>
      </c>
      <c r="P190" s="38" t="s">
        <v>843</v>
      </c>
      <c r="Q190" s="38" t="s">
        <v>1561</v>
      </c>
      <c r="R190" s="38"/>
      <c r="S190" s="38"/>
    </row>
    <row r="191" spans="1:19" ht="50.4" customHeight="1" x14ac:dyDescent="0.3">
      <c r="A191" s="47">
        <v>55131081</v>
      </c>
      <c r="B191" s="39">
        <v>46056</v>
      </c>
      <c r="C191" s="36" t="s">
        <v>882</v>
      </c>
      <c r="D191" s="47">
        <v>55131081</v>
      </c>
      <c r="E191" s="38" t="s">
        <v>101</v>
      </c>
      <c r="F191" s="37" t="s">
        <v>901</v>
      </c>
      <c r="G191" s="38">
        <v>3203061315</v>
      </c>
      <c r="H191" s="38">
        <v>4</v>
      </c>
      <c r="I191" s="38" t="s">
        <v>661</v>
      </c>
      <c r="J191" s="38" t="s">
        <v>662</v>
      </c>
      <c r="K191" s="38" t="s">
        <v>870</v>
      </c>
      <c r="L191" s="38"/>
      <c r="M191" s="39">
        <v>46062</v>
      </c>
      <c r="N191" s="38" t="s">
        <v>842</v>
      </c>
      <c r="O191" s="38" t="s">
        <v>390</v>
      </c>
      <c r="P191" s="38" t="s">
        <v>843</v>
      </c>
      <c r="Q191" s="38" t="s">
        <v>1561</v>
      </c>
      <c r="R191" s="38"/>
      <c r="S191" s="38"/>
    </row>
    <row r="192" spans="1:19" ht="50.4" customHeight="1" x14ac:dyDescent="0.3">
      <c r="A192" s="47">
        <v>55167434</v>
      </c>
      <c r="B192" s="39">
        <v>46073</v>
      </c>
      <c r="C192" s="36" t="s">
        <v>1275</v>
      </c>
      <c r="D192" s="47">
        <v>55167434</v>
      </c>
      <c r="E192" s="38" t="s">
        <v>101</v>
      </c>
      <c r="F192" s="37" t="s">
        <v>1276</v>
      </c>
      <c r="G192" s="38" t="s">
        <v>1277</v>
      </c>
      <c r="H192" s="38">
        <v>5</v>
      </c>
      <c r="I192" s="38" t="s">
        <v>661</v>
      </c>
      <c r="J192" s="38" t="s">
        <v>662</v>
      </c>
      <c r="K192" s="38" t="s">
        <v>1228</v>
      </c>
      <c r="L192" s="38"/>
      <c r="M192" s="39">
        <v>46076</v>
      </c>
      <c r="N192" s="38" t="s">
        <v>842</v>
      </c>
      <c r="O192" s="38" t="s">
        <v>390</v>
      </c>
      <c r="P192" s="38" t="s">
        <v>1555</v>
      </c>
      <c r="Q192" s="38" t="s">
        <v>1561</v>
      </c>
      <c r="R192" s="38"/>
      <c r="S192" s="38"/>
    </row>
    <row r="193" spans="1:19" ht="50.4" customHeight="1" x14ac:dyDescent="0.3">
      <c r="A193" s="47">
        <v>56096742</v>
      </c>
      <c r="B193" s="39">
        <v>46066</v>
      </c>
      <c r="C193" s="36" t="s">
        <v>1181</v>
      </c>
      <c r="D193" s="47">
        <v>56096742</v>
      </c>
      <c r="E193" s="38" t="s">
        <v>349</v>
      </c>
      <c r="F193" s="37" t="s">
        <v>1182</v>
      </c>
      <c r="G193" s="38">
        <v>3217761167</v>
      </c>
      <c r="H193" s="38">
        <v>1</v>
      </c>
      <c r="I193" s="38" t="s">
        <v>638</v>
      </c>
      <c r="J193" s="38" t="s">
        <v>639</v>
      </c>
      <c r="K193" s="38" t="s">
        <v>1152</v>
      </c>
      <c r="L193" s="38"/>
      <c r="M193" s="39"/>
      <c r="N193" s="38" t="s">
        <v>842</v>
      </c>
      <c r="O193" s="38" t="s">
        <v>390</v>
      </c>
      <c r="P193" s="38" t="s">
        <v>843</v>
      </c>
      <c r="Q193" s="38"/>
      <c r="R193" s="38"/>
      <c r="S193" s="38"/>
    </row>
    <row r="194" spans="1:19" ht="50.4" customHeight="1" x14ac:dyDescent="0.3">
      <c r="A194" s="47">
        <v>57208222</v>
      </c>
      <c r="B194" s="39">
        <v>46084</v>
      </c>
      <c r="C194" s="38" t="s">
        <v>1380</v>
      </c>
      <c r="D194" s="47">
        <v>57208222</v>
      </c>
      <c r="E194" s="38" t="s">
        <v>349</v>
      </c>
      <c r="F194" s="37" t="s">
        <v>1396</v>
      </c>
      <c r="G194" s="53">
        <v>3106912038</v>
      </c>
      <c r="H194" s="38">
        <v>1</v>
      </c>
      <c r="I194" s="38" t="s">
        <v>678</v>
      </c>
      <c r="J194" s="38" t="e">
        <v>#REF!</v>
      </c>
      <c r="K194" s="38" t="s">
        <v>1404</v>
      </c>
      <c r="L194" s="38"/>
      <c r="M194" s="39"/>
      <c r="N194" s="38" t="s">
        <v>842</v>
      </c>
      <c r="O194" s="38" t="s">
        <v>390</v>
      </c>
      <c r="P194" s="38" t="s">
        <v>843</v>
      </c>
      <c r="Q194" s="38"/>
      <c r="R194" s="38"/>
      <c r="S194" s="38"/>
    </row>
    <row r="195" spans="1:19" ht="50.4" customHeight="1" x14ac:dyDescent="0.3">
      <c r="A195" s="47">
        <v>57270268</v>
      </c>
      <c r="B195" s="39">
        <v>46097</v>
      </c>
      <c r="C195" s="38" t="s">
        <v>1434</v>
      </c>
      <c r="D195" s="47">
        <v>57270268</v>
      </c>
      <c r="E195" s="38" t="s">
        <v>349</v>
      </c>
      <c r="F195" s="37" t="s">
        <v>1468</v>
      </c>
      <c r="G195" s="38">
        <v>3014864360</v>
      </c>
      <c r="H195" s="38">
        <v>1</v>
      </c>
      <c r="I195" s="38" t="s">
        <v>678</v>
      </c>
      <c r="J195" s="38" t="e">
        <v>#REF!</v>
      </c>
      <c r="K195" s="38" t="s">
        <v>1418</v>
      </c>
      <c r="L195" s="38"/>
      <c r="M195" s="39"/>
      <c r="N195" s="38" t="s">
        <v>842</v>
      </c>
      <c r="O195" s="38" t="s">
        <v>390</v>
      </c>
      <c r="P195" s="38" t="s">
        <v>843</v>
      </c>
      <c r="Q195" s="38"/>
      <c r="R195" s="38"/>
      <c r="S195" s="38"/>
    </row>
    <row r="196" spans="1:19" ht="50.4" hidden="1" customHeight="1" x14ac:dyDescent="0.3">
      <c r="A196" s="47">
        <v>57701996</v>
      </c>
      <c r="B196" s="49">
        <v>46020</v>
      </c>
      <c r="C196" s="36" t="s">
        <v>80</v>
      </c>
      <c r="D196" s="47">
        <v>57701996</v>
      </c>
      <c r="E196" s="36" t="s">
        <v>384</v>
      </c>
      <c r="F196" s="37" t="s">
        <v>81</v>
      </c>
      <c r="G196" s="36" t="s">
        <v>82</v>
      </c>
      <c r="H196" s="36">
        <v>4</v>
      </c>
      <c r="I196" s="38" t="s">
        <v>631</v>
      </c>
      <c r="J196" s="38" t="s">
        <v>631</v>
      </c>
      <c r="K196" s="36" t="s">
        <v>251</v>
      </c>
      <c r="L196" s="36"/>
      <c r="M196" s="39">
        <v>46035</v>
      </c>
      <c r="N196" s="38" t="s">
        <v>842</v>
      </c>
      <c r="O196" s="38" t="s">
        <v>380</v>
      </c>
      <c r="P196" s="38" t="s">
        <v>842</v>
      </c>
      <c r="Q196" s="38" t="s">
        <v>1559</v>
      </c>
      <c r="R196" s="38"/>
      <c r="S196" s="38" t="s">
        <v>251</v>
      </c>
    </row>
    <row r="197" spans="1:19" ht="50.4" customHeight="1" x14ac:dyDescent="0.3">
      <c r="A197" s="47">
        <v>60394213</v>
      </c>
      <c r="B197" s="39">
        <v>46045</v>
      </c>
      <c r="C197" s="36" t="s">
        <v>600</v>
      </c>
      <c r="D197" s="47">
        <v>60394213</v>
      </c>
      <c r="E197" s="36" t="s">
        <v>101</v>
      </c>
      <c r="F197" s="37" t="s">
        <v>601</v>
      </c>
      <c r="G197" s="38">
        <v>3225138723</v>
      </c>
      <c r="H197" s="38">
        <v>3</v>
      </c>
      <c r="I197" s="38" t="s">
        <v>643</v>
      </c>
      <c r="J197" s="38" t="s">
        <v>681</v>
      </c>
      <c r="K197" s="38" t="s">
        <v>589</v>
      </c>
      <c r="L197" s="38"/>
      <c r="M197" s="39">
        <v>46049</v>
      </c>
      <c r="N197" s="38" t="s">
        <v>842</v>
      </c>
      <c r="O197" s="38" t="s">
        <v>390</v>
      </c>
      <c r="P197" s="38" t="s">
        <v>842</v>
      </c>
      <c r="Q197" s="38" t="s">
        <v>1559</v>
      </c>
      <c r="R197" s="38"/>
      <c r="S197" s="38" t="s">
        <v>589</v>
      </c>
    </row>
    <row r="198" spans="1:19" ht="50.4" customHeight="1" x14ac:dyDescent="0.3">
      <c r="A198" s="47">
        <v>63395573</v>
      </c>
      <c r="B198" s="39">
        <v>46032</v>
      </c>
      <c r="C198" s="36" t="s">
        <v>453</v>
      </c>
      <c r="D198" s="47">
        <v>63395573</v>
      </c>
      <c r="E198" s="36" t="s">
        <v>101</v>
      </c>
      <c r="F198" s="37" t="s">
        <v>454</v>
      </c>
      <c r="G198" s="38">
        <v>3204462342</v>
      </c>
      <c r="H198" s="38">
        <v>3</v>
      </c>
      <c r="I198" s="38" t="s">
        <v>632</v>
      </c>
      <c r="J198" s="38" t="s">
        <v>1135</v>
      </c>
      <c r="K198" s="42"/>
      <c r="L198" s="39" t="s">
        <v>455</v>
      </c>
      <c r="M198" s="39">
        <v>46039</v>
      </c>
      <c r="N198" s="38" t="s">
        <v>843</v>
      </c>
      <c r="O198" s="38" t="s">
        <v>390</v>
      </c>
      <c r="P198" s="38" t="s">
        <v>843</v>
      </c>
      <c r="Q198" s="38" t="s">
        <v>1558</v>
      </c>
      <c r="R198" s="38"/>
      <c r="S198" s="38"/>
    </row>
    <row r="199" spans="1:19" ht="50.4" hidden="1" customHeight="1" x14ac:dyDescent="0.3">
      <c r="A199" s="47">
        <v>63497632</v>
      </c>
      <c r="B199" s="49">
        <v>46020</v>
      </c>
      <c r="C199" s="36" t="s">
        <v>127</v>
      </c>
      <c r="D199" s="47">
        <v>63497632</v>
      </c>
      <c r="E199" s="36" t="s">
        <v>261</v>
      </c>
      <c r="F199" s="37" t="s">
        <v>128</v>
      </c>
      <c r="G199" s="36">
        <v>3133936394</v>
      </c>
      <c r="H199" s="36">
        <v>3</v>
      </c>
      <c r="I199" s="38" t="s">
        <v>632</v>
      </c>
      <c r="J199" s="38" t="s">
        <v>633</v>
      </c>
      <c r="K199" s="36" t="s">
        <v>245</v>
      </c>
      <c r="L199" s="36"/>
      <c r="M199" s="39">
        <v>46035</v>
      </c>
      <c r="N199" s="38" t="s">
        <v>842</v>
      </c>
      <c r="O199" s="38" t="s">
        <v>380</v>
      </c>
      <c r="P199" s="38" t="s">
        <v>842</v>
      </c>
      <c r="Q199" s="38" t="s">
        <v>1559</v>
      </c>
      <c r="R199" s="38"/>
      <c r="S199" s="38" t="s">
        <v>245</v>
      </c>
    </row>
    <row r="200" spans="1:19" ht="50.4" customHeight="1" x14ac:dyDescent="0.3">
      <c r="A200" s="47">
        <v>63511350</v>
      </c>
      <c r="B200" s="39">
        <v>46066</v>
      </c>
      <c r="C200" s="36" t="s">
        <v>1166</v>
      </c>
      <c r="D200" s="47">
        <v>63511350</v>
      </c>
      <c r="E200" s="38" t="s">
        <v>349</v>
      </c>
      <c r="F200" s="37" t="s">
        <v>1167</v>
      </c>
      <c r="G200" s="38">
        <v>3183766750</v>
      </c>
      <c r="H200" s="38">
        <v>5</v>
      </c>
      <c r="I200" s="38" t="s">
        <v>632</v>
      </c>
      <c r="J200" s="38" t="s">
        <v>633</v>
      </c>
      <c r="K200" s="38" t="s">
        <v>1152</v>
      </c>
      <c r="L200" s="38"/>
      <c r="M200" s="39"/>
      <c r="N200" s="38" t="s">
        <v>842</v>
      </c>
      <c r="O200" s="38" t="s">
        <v>390</v>
      </c>
      <c r="P200" s="38" t="s">
        <v>843</v>
      </c>
      <c r="Q200" s="38"/>
      <c r="R200" s="38"/>
      <c r="S200" s="38"/>
    </row>
    <row r="201" spans="1:19" ht="50.4" customHeight="1" x14ac:dyDescent="0.3">
      <c r="A201" s="47">
        <v>63545948</v>
      </c>
      <c r="B201" s="48">
        <v>46017</v>
      </c>
      <c r="C201" s="36" t="s">
        <v>192</v>
      </c>
      <c r="D201" s="47">
        <v>63545948</v>
      </c>
      <c r="E201" s="36" t="s">
        <v>101</v>
      </c>
      <c r="F201" s="37" t="s">
        <v>193</v>
      </c>
      <c r="G201" s="36">
        <v>3168706325</v>
      </c>
      <c r="H201" s="36">
        <v>3</v>
      </c>
      <c r="I201" s="38" t="s">
        <v>632</v>
      </c>
      <c r="J201" s="38" t="s">
        <v>682</v>
      </c>
      <c r="K201" s="36" t="s">
        <v>242</v>
      </c>
      <c r="L201" s="36"/>
      <c r="M201" s="39">
        <v>46035</v>
      </c>
      <c r="N201" s="38" t="s">
        <v>842</v>
      </c>
      <c r="O201" s="38" t="s">
        <v>390</v>
      </c>
      <c r="P201" s="38" t="s">
        <v>842</v>
      </c>
      <c r="Q201" s="38" t="s">
        <v>1559</v>
      </c>
      <c r="R201" s="38"/>
      <c r="S201" s="38" t="s">
        <v>242</v>
      </c>
    </row>
    <row r="202" spans="1:19" ht="50.4" customHeight="1" x14ac:dyDescent="0.3">
      <c r="A202" s="47">
        <v>63554862</v>
      </c>
      <c r="B202" s="39">
        <v>46038</v>
      </c>
      <c r="C202" s="36" t="s">
        <v>552</v>
      </c>
      <c r="D202" s="47">
        <v>63554862</v>
      </c>
      <c r="E202" s="36" t="s">
        <v>101</v>
      </c>
      <c r="F202" s="37" t="s">
        <v>480</v>
      </c>
      <c r="G202" s="38">
        <v>3204269266</v>
      </c>
      <c r="H202" s="38">
        <v>3</v>
      </c>
      <c r="I202" s="38" t="s">
        <v>632</v>
      </c>
      <c r="J202" s="38" t="s">
        <v>683</v>
      </c>
      <c r="K202" s="38" t="s">
        <v>469</v>
      </c>
      <c r="L202" s="38"/>
      <c r="M202" s="39">
        <v>46049</v>
      </c>
      <c r="N202" s="38" t="s">
        <v>842</v>
      </c>
      <c r="O202" s="38" t="s">
        <v>390</v>
      </c>
      <c r="P202" s="38" t="s">
        <v>842</v>
      </c>
      <c r="Q202" s="38" t="s">
        <v>1559</v>
      </c>
      <c r="R202" s="38"/>
      <c r="S202" s="38" t="s">
        <v>469</v>
      </c>
    </row>
    <row r="203" spans="1:19" ht="50.4" customHeight="1" x14ac:dyDescent="0.3">
      <c r="A203" s="47">
        <v>64561402</v>
      </c>
      <c r="B203" s="39">
        <v>46097</v>
      </c>
      <c r="C203" s="38" t="s">
        <v>1424</v>
      </c>
      <c r="D203" s="47">
        <v>64561402</v>
      </c>
      <c r="E203" s="38" t="s">
        <v>349</v>
      </c>
      <c r="F203" s="37" t="s">
        <v>1457</v>
      </c>
      <c r="G203" s="38">
        <v>3008374225</v>
      </c>
      <c r="H203" s="38">
        <v>1</v>
      </c>
      <c r="I203" s="38" t="s">
        <v>693</v>
      </c>
      <c r="J203" s="38" t="e">
        <v>#REF!</v>
      </c>
      <c r="K203" s="38" t="s">
        <v>1418</v>
      </c>
      <c r="L203" s="38"/>
      <c r="M203" s="39"/>
      <c r="N203" s="38" t="s">
        <v>842</v>
      </c>
      <c r="O203" s="38" t="s">
        <v>390</v>
      </c>
      <c r="P203" s="38" t="s">
        <v>843</v>
      </c>
      <c r="Q203" s="38"/>
      <c r="R203" s="38"/>
      <c r="S203" s="38"/>
    </row>
    <row r="204" spans="1:19" ht="50.4" customHeight="1" x14ac:dyDescent="0.3">
      <c r="A204" s="47">
        <v>64705153</v>
      </c>
      <c r="B204" s="39">
        <v>46056</v>
      </c>
      <c r="C204" s="36" t="s">
        <v>886</v>
      </c>
      <c r="D204" s="47">
        <v>64705153</v>
      </c>
      <c r="E204" s="38" t="s">
        <v>349</v>
      </c>
      <c r="F204" s="37" t="s">
        <v>905</v>
      </c>
      <c r="G204" s="38">
        <v>3208976411</v>
      </c>
      <c r="H204" s="38">
        <v>4</v>
      </c>
      <c r="I204" s="38" t="s">
        <v>707</v>
      </c>
      <c r="J204" s="38" t="s">
        <v>916</v>
      </c>
      <c r="K204" s="38" t="s">
        <v>870</v>
      </c>
      <c r="L204" s="38"/>
      <c r="M204" s="39">
        <v>46062</v>
      </c>
      <c r="N204" s="38" t="s">
        <v>842</v>
      </c>
      <c r="O204" s="38" t="s">
        <v>390</v>
      </c>
      <c r="P204" s="38" t="s">
        <v>843</v>
      </c>
      <c r="Q204" s="38" t="s">
        <v>1561</v>
      </c>
      <c r="R204" s="38"/>
      <c r="S204" s="38"/>
    </row>
    <row r="205" spans="1:19" ht="50.4" customHeight="1" x14ac:dyDescent="0.3">
      <c r="A205" s="47">
        <v>64721391</v>
      </c>
      <c r="B205" s="39">
        <v>46097</v>
      </c>
      <c r="C205" s="38" t="s">
        <v>1526</v>
      </c>
      <c r="D205" s="47">
        <v>64721391</v>
      </c>
      <c r="E205" s="38" t="s">
        <v>101</v>
      </c>
      <c r="F205" s="37" t="s">
        <v>1411</v>
      </c>
      <c r="G205" s="38">
        <v>3114046181</v>
      </c>
      <c r="H205" s="38">
        <v>1</v>
      </c>
      <c r="I205" s="38" t="s">
        <v>693</v>
      </c>
      <c r="J205" s="38" t="e">
        <v>#REF!</v>
      </c>
      <c r="K205" s="38"/>
      <c r="L205" s="38" t="s">
        <v>1416</v>
      </c>
      <c r="M205" s="39"/>
      <c r="N205" s="38" t="s">
        <v>843</v>
      </c>
      <c r="O205" s="38" t="s">
        <v>390</v>
      </c>
      <c r="P205" s="38" t="s">
        <v>843</v>
      </c>
      <c r="Q205" s="38"/>
      <c r="R205" s="38"/>
      <c r="S205" s="38"/>
    </row>
    <row r="206" spans="1:19" ht="50.4" customHeight="1" x14ac:dyDescent="0.3">
      <c r="A206" s="47">
        <v>65754443</v>
      </c>
      <c r="B206" s="39">
        <v>46045</v>
      </c>
      <c r="C206" s="36" t="s">
        <v>621</v>
      </c>
      <c r="D206" s="47">
        <v>65754443</v>
      </c>
      <c r="E206" s="36" t="s">
        <v>101</v>
      </c>
      <c r="F206" s="37" t="s">
        <v>602</v>
      </c>
      <c r="G206" s="38">
        <v>3203208130</v>
      </c>
      <c r="H206" s="38">
        <v>4</v>
      </c>
      <c r="I206" s="38" t="s">
        <v>661</v>
      </c>
      <c r="J206" s="38" t="s">
        <v>684</v>
      </c>
      <c r="K206" s="38" t="s">
        <v>589</v>
      </c>
      <c r="L206" s="38"/>
      <c r="M206" s="39">
        <v>46049</v>
      </c>
      <c r="N206" s="38" t="s">
        <v>842</v>
      </c>
      <c r="O206" s="38" t="s">
        <v>390</v>
      </c>
      <c r="P206" s="38" t="s">
        <v>843</v>
      </c>
      <c r="Q206" s="38" t="s">
        <v>1560</v>
      </c>
      <c r="R206" s="38"/>
      <c r="S206" s="38" t="s">
        <v>589</v>
      </c>
    </row>
    <row r="207" spans="1:19" ht="50.4" hidden="1" customHeight="1" x14ac:dyDescent="0.3">
      <c r="A207" s="47">
        <v>65782244</v>
      </c>
      <c r="B207" s="39">
        <v>46073</v>
      </c>
      <c r="C207" s="36" t="s">
        <v>1288</v>
      </c>
      <c r="D207" s="47">
        <v>65782244</v>
      </c>
      <c r="E207" s="38" t="s">
        <v>382</v>
      </c>
      <c r="F207" s="37" t="s">
        <v>1289</v>
      </c>
      <c r="G207" s="38">
        <v>3202112669</v>
      </c>
      <c r="H207" s="38">
        <v>2</v>
      </c>
      <c r="I207" s="38" t="s">
        <v>665</v>
      </c>
      <c r="J207" s="38" t="s">
        <v>666</v>
      </c>
      <c r="K207" s="38" t="s">
        <v>1228</v>
      </c>
      <c r="L207" s="38"/>
      <c r="M207" s="39">
        <v>46076</v>
      </c>
      <c r="N207" s="38" t="s">
        <v>842</v>
      </c>
      <c r="O207" s="38" t="s">
        <v>380</v>
      </c>
      <c r="P207" s="38" t="s">
        <v>1555</v>
      </c>
      <c r="Q207" s="38" t="s">
        <v>1561</v>
      </c>
      <c r="R207" s="38"/>
      <c r="S207" s="38"/>
    </row>
    <row r="208" spans="1:19" ht="50.4" customHeight="1" x14ac:dyDescent="0.3">
      <c r="A208" s="47">
        <v>65784493</v>
      </c>
      <c r="B208" s="39">
        <v>46041</v>
      </c>
      <c r="C208" s="36" t="s">
        <v>439</v>
      </c>
      <c r="D208" s="47">
        <v>65784493</v>
      </c>
      <c r="E208" s="36" t="s">
        <v>349</v>
      </c>
      <c r="F208" s="37" t="s">
        <v>440</v>
      </c>
      <c r="G208" s="38">
        <v>3168889951</v>
      </c>
      <c r="H208" s="38">
        <v>2</v>
      </c>
      <c r="I208" s="38" t="s">
        <v>665</v>
      </c>
      <c r="J208" s="38" t="s">
        <v>666</v>
      </c>
      <c r="K208" s="38" t="s">
        <v>407</v>
      </c>
      <c r="L208" s="38"/>
      <c r="M208" s="39">
        <v>46049</v>
      </c>
      <c r="N208" s="38" t="s">
        <v>842</v>
      </c>
      <c r="O208" s="38" t="s">
        <v>390</v>
      </c>
      <c r="P208" s="38" t="s">
        <v>842</v>
      </c>
      <c r="Q208" s="38" t="s">
        <v>1559</v>
      </c>
      <c r="R208" s="38"/>
      <c r="S208" s="38" t="s">
        <v>840</v>
      </c>
    </row>
    <row r="209" spans="1:19" ht="50.4" hidden="1" customHeight="1" x14ac:dyDescent="0.2">
      <c r="A209" s="47">
        <v>68246790</v>
      </c>
      <c r="B209" s="48" t="s">
        <v>1154</v>
      </c>
      <c r="C209" s="36" t="s">
        <v>747</v>
      </c>
      <c r="D209" s="47">
        <v>68246790</v>
      </c>
      <c r="E209" s="36" t="s">
        <v>384</v>
      </c>
      <c r="F209" s="37" t="s">
        <v>748</v>
      </c>
      <c r="G209" s="36">
        <v>3144628351</v>
      </c>
      <c r="H209" s="36">
        <v>4</v>
      </c>
      <c r="I209" s="38" t="s">
        <v>643</v>
      </c>
      <c r="J209" s="38" t="e">
        <v>#REF!</v>
      </c>
      <c r="K209" s="52" t="s">
        <v>1153</v>
      </c>
      <c r="L209" s="52"/>
      <c r="M209" s="39"/>
      <c r="N209" s="38" t="s">
        <v>842</v>
      </c>
      <c r="O209" s="38" t="s">
        <v>380</v>
      </c>
      <c r="P209" s="38" t="s">
        <v>842</v>
      </c>
      <c r="Q209" s="38" t="s">
        <v>1559</v>
      </c>
      <c r="R209" s="38"/>
      <c r="S209" s="38" t="s">
        <v>834</v>
      </c>
    </row>
    <row r="210" spans="1:19" ht="50.4" customHeight="1" x14ac:dyDescent="0.3">
      <c r="A210" s="47">
        <v>68249820</v>
      </c>
      <c r="B210" s="39">
        <v>46073</v>
      </c>
      <c r="C210" s="36" t="s">
        <v>1353</v>
      </c>
      <c r="D210" s="47">
        <v>68249820</v>
      </c>
      <c r="E210" s="38" t="s">
        <v>349</v>
      </c>
      <c r="F210" s="37" t="s">
        <v>1356</v>
      </c>
      <c r="G210" s="38">
        <v>3118290743</v>
      </c>
      <c r="H210" s="38">
        <v>3</v>
      </c>
      <c r="I210" s="38" t="s">
        <v>643</v>
      </c>
      <c r="J210" s="38" t="s">
        <v>643</v>
      </c>
      <c r="K210" s="38" t="s">
        <v>1359</v>
      </c>
      <c r="L210" s="38"/>
      <c r="M210" s="39"/>
      <c r="N210" s="38" t="s">
        <v>842</v>
      </c>
      <c r="O210" s="38" t="s">
        <v>390</v>
      </c>
      <c r="P210" s="38" t="s">
        <v>843</v>
      </c>
      <c r="Q210" s="38"/>
      <c r="R210" s="38"/>
      <c r="S210" s="38"/>
    </row>
    <row r="211" spans="1:19" ht="50.4" hidden="1" customHeight="1" x14ac:dyDescent="0.3">
      <c r="A211" s="47">
        <v>68293175</v>
      </c>
      <c r="B211" s="48">
        <v>46017</v>
      </c>
      <c r="C211" s="36" t="s">
        <v>226</v>
      </c>
      <c r="D211" s="47">
        <v>68293175</v>
      </c>
      <c r="E211" s="36" t="s">
        <v>383</v>
      </c>
      <c r="F211" s="37" t="s">
        <v>227</v>
      </c>
      <c r="G211" s="36">
        <v>3214599755</v>
      </c>
      <c r="H211" s="36">
        <v>3</v>
      </c>
      <c r="I211" s="38" t="s">
        <v>643</v>
      </c>
      <c r="J211" s="38" t="s">
        <v>644</v>
      </c>
      <c r="K211" s="36" t="s">
        <v>242</v>
      </c>
      <c r="L211" s="36"/>
      <c r="M211" s="39">
        <v>46035</v>
      </c>
      <c r="N211" s="38" t="s">
        <v>842</v>
      </c>
      <c r="O211" s="38" t="s">
        <v>380</v>
      </c>
      <c r="P211" s="38" t="s">
        <v>842</v>
      </c>
      <c r="Q211" s="38" t="s">
        <v>1559</v>
      </c>
      <c r="R211" s="38"/>
      <c r="S211" s="38" t="s">
        <v>242</v>
      </c>
    </row>
    <row r="212" spans="1:19" ht="50.4" hidden="1" customHeight="1" x14ac:dyDescent="0.3">
      <c r="A212" s="47">
        <v>68304908</v>
      </c>
      <c r="B212" s="49">
        <v>46020</v>
      </c>
      <c r="C212" s="36" t="s">
        <v>164</v>
      </c>
      <c r="D212" s="47">
        <v>68304908</v>
      </c>
      <c r="E212" s="36" t="s">
        <v>389</v>
      </c>
      <c r="F212" s="37" t="s">
        <v>165</v>
      </c>
      <c r="G212" s="36">
        <v>3103003277</v>
      </c>
      <c r="H212" s="36">
        <v>3</v>
      </c>
      <c r="I212" s="38" t="s">
        <v>643</v>
      </c>
      <c r="J212" s="38" t="s">
        <v>644</v>
      </c>
      <c r="K212" s="36" t="s">
        <v>245</v>
      </c>
      <c r="L212" s="36"/>
      <c r="M212" s="39">
        <v>46035</v>
      </c>
      <c r="N212" s="38" t="s">
        <v>842</v>
      </c>
      <c r="O212" s="38" t="s">
        <v>390</v>
      </c>
      <c r="P212" s="38" t="s">
        <v>842</v>
      </c>
      <c r="Q212" s="38" t="s">
        <v>1559</v>
      </c>
      <c r="R212" s="38"/>
      <c r="S212" s="38" t="s">
        <v>245</v>
      </c>
    </row>
    <row r="213" spans="1:19" ht="50.4" customHeight="1" x14ac:dyDescent="0.3">
      <c r="A213" s="47">
        <v>70782693</v>
      </c>
      <c r="B213" s="39">
        <v>46066</v>
      </c>
      <c r="C213" s="36" t="s">
        <v>1185</v>
      </c>
      <c r="D213" s="47">
        <v>70782693</v>
      </c>
      <c r="E213" s="38" t="s">
        <v>101</v>
      </c>
      <c r="F213" s="37" t="s">
        <v>1186</v>
      </c>
      <c r="G213" s="38" t="s">
        <v>1187</v>
      </c>
      <c r="H213" s="38">
        <v>5</v>
      </c>
      <c r="I213" s="38" t="s">
        <v>657</v>
      </c>
      <c r="J213" s="38" t="s">
        <v>1192</v>
      </c>
      <c r="K213" s="38" t="s">
        <v>1152</v>
      </c>
      <c r="L213" s="38"/>
      <c r="M213" s="39">
        <v>46076</v>
      </c>
      <c r="N213" s="38" t="s">
        <v>842</v>
      </c>
      <c r="O213" s="38" t="s">
        <v>390</v>
      </c>
      <c r="P213" s="38" t="s">
        <v>1555</v>
      </c>
      <c r="Q213" s="38" t="s">
        <v>1561</v>
      </c>
      <c r="R213" s="38"/>
      <c r="S213" s="38"/>
    </row>
    <row r="214" spans="1:19" ht="50.4" customHeight="1" x14ac:dyDescent="0.3">
      <c r="A214" s="47">
        <v>72125108</v>
      </c>
      <c r="B214" s="50">
        <v>46029</v>
      </c>
      <c r="C214" s="36" t="s">
        <v>13</v>
      </c>
      <c r="D214" s="47">
        <v>72125108</v>
      </c>
      <c r="E214" s="36" t="s">
        <v>101</v>
      </c>
      <c r="F214" s="37" t="s">
        <v>14</v>
      </c>
      <c r="G214" s="36">
        <v>3207717327</v>
      </c>
      <c r="H214" s="36">
        <v>1</v>
      </c>
      <c r="I214" s="38" t="s">
        <v>638</v>
      </c>
      <c r="J214" s="38" t="s">
        <v>685</v>
      </c>
      <c r="K214" s="36" t="s">
        <v>259</v>
      </c>
      <c r="L214" s="36"/>
      <c r="M214" s="39">
        <v>46035</v>
      </c>
      <c r="N214" s="38" t="s">
        <v>842</v>
      </c>
      <c r="O214" s="38" t="s">
        <v>390</v>
      </c>
      <c r="P214" s="38" t="s">
        <v>842</v>
      </c>
      <c r="Q214" s="38" t="s">
        <v>1559</v>
      </c>
      <c r="R214" s="38"/>
      <c r="S214" s="38" t="s">
        <v>259</v>
      </c>
    </row>
    <row r="215" spans="1:19" ht="50.4" hidden="1" customHeight="1" x14ac:dyDescent="0.3">
      <c r="A215" s="47">
        <v>72278232</v>
      </c>
      <c r="B215" s="39">
        <v>46035</v>
      </c>
      <c r="C215" s="36" t="s">
        <v>348</v>
      </c>
      <c r="D215" s="47">
        <v>72278232</v>
      </c>
      <c r="E215" s="36" t="s">
        <v>261</v>
      </c>
      <c r="F215" s="37" t="s">
        <v>85</v>
      </c>
      <c r="G215" s="38">
        <v>3152003632</v>
      </c>
      <c r="H215" s="38">
        <v>1</v>
      </c>
      <c r="I215" s="38" t="s">
        <v>636</v>
      </c>
      <c r="J215" s="38" t="s">
        <v>637</v>
      </c>
      <c r="K215" s="38" t="s">
        <v>464</v>
      </c>
      <c r="L215" s="38"/>
      <c r="M215" s="39">
        <v>46043</v>
      </c>
      <c r="N215" s="38" t="s">
        <v>842</v>
      </c>
      <c r="O215" s="38" t="s">
        <v>380</v>
      </c>
      <c r="P215" s="38" t="s">
        <v>842</v>
      </c>
      <c r="Q215" s="38" t="s">
        <v>1559</v>
      </c>
      <c r="R215" s="38"/>
      <c r="S215" s="38" t="s">
        <v>464</v>
      </c>
    </row>
    <row r="216" spans="1:19" ht="50.4" customHeight="1" x14ac:dyDescent="0.2">
      <c r="A216" s="47"/>
      <c r="B216" s="39">
        <v>46161</v>
      </c>
      <c r="C216" s="58" t="s">
        <v>1721</v>
      </c>
      <c r="D216" s="58">
        <v>72282052</v>
      </c>
      <c r="E216" s="58" t="s">
        <v>1700</v>
      </c>
      <c r="F216" s="59" t="s">
        <v>1742</v>
      </c>
      <c r="G216" s="58">
        <v>3208804439</v>
      </c>
      <c r="H216" s="60">
        <v>2</v>
      </c>
      <c r="I216" s="38"/>
      <c r="J216" s="38"/>
      <c r="K216" s="57" t="s">
        <v>1760</v>
      </c>
      <c r="L216" s="38"/>
      <c r="M216" s="39">
        <v>46163</v>
      </c>
      <c r="N216" s="38" t="s">
        <v>1705</v>
      </c>
      <c r="O216" s="38"/>
      <c r="P216" s="38"/>
      <c r="Q216" s="38"/>
      <c r="R216" s="38"/>
      <c r="S216" s="38"/>
    </row>
    <row r="217" spans="1:19" ht="50.4" hidden="1" customHeight="1" x14ac:dyDescent="0.3">
      <c r="A217" s="47">
        <v>72310623</v>
      </c>
      <c r="B217" s="49">
        <v>46020</v>
      </c>
      <c r="C217" s="36" t="s">
        <v>116</v>
      </c>
      <c r="D217" s="47">
        <v>72310623</v>
      </c>
      <c r="E217" s="36" t="s">
        <v>383</v>
      </c>
      <c r="F217" s="37" t="s">
        <v>117</v>
      </c>
      <c r="G217" s="36">
        <v>3185817751</v>
      </c>
      <c r="H217" s="36">
        <v>1</v>
      </c>
      <c r="I217" s="38" t="s">
        <v>636</v>
      </c>
      <c r="J217" s="38" t="s">
        <v>721</v>
      </c>
      <c r="K217" s="36" t="s">
        <v>245</v>
      </c>
      <c r="L217" s="36"/>
      <c r="M217" s="39">
        <v>46035</v>
      </c>
      <c r="N217" s="38" t="s">
        <v>842</v>
      </c>
      <c r="O217" s="38" t="s">
        <v>380</v>
      </c>
      <c r="P217" s="38" t="s">
        <v>842</v>
      </c>
      <c r="Q217" s="38" t="s">
        <v>1559</v>
      </c>
      <c r="R217" s="38"/>
      <c r="S217" s="38" t="s">
        <v>245</v>
      </c>
    </row>
    <row r="218" spans="1:19" ht="50.4" customHeight="1" x14ac:dyDescent="0.3">
      <c r="A218" s="47">
        <v>72343222</v>
      </c>
      <c r="B218" s="39">
        <v>46125</v>
      </c>
      <c r="C218" s="36" t="s">
        <v>1608</v>
      </c>
      <c r="D218" s="47">
        <v>72343222</v>
      </c>
      <c r="E218" s="38" t="s">
        <v>101</v>
      </c>
      <c r="F218" s="37" t="s">
        <v>1618</v>
      </c>
      <c r="G218" s="38">
        <v>3125140492</v>
      </c>
      <c r="H218" s="38">
        <v>1</v>
      </c>
      <c r="I218" s="38" t="s">
        <v>693</v>
      </c>
      <c r="J218" s="38" t="s">
        <v>1628</v>
      </c>
      <c r="K218" s="38" t="s">
        <v>1615</v>
      </c>
      <c r="L218" s="38"/>
      <c r="M218" s="39"/>
      <c r="N218" s="38" t="s">
        <v>842</v>
      </c>
      <c r="O218" s="38" t="s">
        <v>390</v>
      </c>
      <c r="P218" s="38" t="s">
        <v>843</v>
      </c>
      <c r="Q218" s="38"/>
      <c r="R218" s="38"/>
      <c r="S218" s="38"/>
    </row>
    <row r="219" spans="1:19" ht="50.4" hidden="1" customHeight="1" x14ac:dyDescent="0.3">
      <c r="A219" s="47"/>
      <c r="B219" s="39">
        <v>46161</v>
      </c>
      <c r="C219" s="53" t="s">
        <v>1725</v>
      </c>
      <c r="D219" s="53">
        <v>73149294</v>
      </c>
      <c r="E219" s="53" t="s">
        <v>1724</v>
      </c>
      <c r="F219" s="56" t="s">
        <v>1745</v>
      </c>
      <c r="G219" s="53">
        <v>3046639419</v>
      </c>
      <c r="H219" s="53">
        <v>1</v>
      </c>
      <c r="I219" s="38"/>
      <c r="J219" s="38"/>
      <c r="K219" s="38"/>
      <c r="L219" s="38" t="s">
        <v>1761</v>
      </c>
      <c r="M219" s="39">
        <v>46163</v>
      </c>
      <c r="N219" s="38" t="s">
        <v>1555</v>
      </c>
      <c r="O219" s="38"/>
      <c r="P219" s="38"/>
      <c r="Q219" s="38"/>
      <c r="R219" s="38"/>
      <c r="S219" s="38"/>
    </row>
    <row r="220" spans="1:19" ht="52.8" customHeight="1" x14ac:dyDescent="0.3">
      <c r="A220" s="47">
        <v>73240202</v>
      </c>
      <c r="B220" s="48">
        <v>46017</v>
      </c>
      <c r="C220" s="36" t="s">
        <v>218</v>
      </c>
      <c r="D220" s="47">
        <v>73240202</v>
      </c>
      <c r="E220" s="36" t="s">
        <v>101</v>
      </c>
      <c r="F220" s="37" t="s">
        <v>219</v>
      </c>
      <c r="G220" s="36">
        <v>3005231801</v>
      </c>
      <c r="H220" s="36">
        <v>1</v>
      </c>
      <c r="I220" s="38" t="s">
        <v>686</v>
      </c>
      <c r="J220" s="38" t="s">
        <v>687</v>
      </c>
      <c r="K220" s="36" t="s">
        <v>242</v>
      </c>
      <c r="L220" s="36"/>
      <c r="M220" s="39">
        <v>46035</v>
      </c>
      <c r="N220" s="38" t="s">
        <v>842</v>
      </c>
      <c r="O220" s="38" t="s">
        <v>390</v>
      </c>
      <c r="P220" s="38" t="s">
        <v>842</v>
      </c>
      <c r="Q220" s="38" t="s">
        <v>1559</v>
      </c>
      <c r="R220" s="38"/>
      <c r="S220" s="38" t="s">
        <v>242</v>
      </c>
    </row>
    <row r="221" spans="1:19" ht="39.6" customHeight="1" x14ac:dyDescent="0.3">
      <c r="A221" s="47">
        <v>73435975</v>
      </c>
      <c r="B221" s="39">
        <v>46133</v>
      </c>
      <c r="C221" s="36" t="s">
        <v>1633</v>
      </c>
      <c r="D221" s="47">
        <v>73435975</v>
      </c>
      <c r="E221" s="38" t="s">
        <v>101</v>
      </c>
      <c r="F221" s="37" t="s">
        <v>1640</v>
      </c>
      <c r="G221" s="38">
        <v>3002621973</v>
      </c>
      <c r="H221" s="38">
        <v>1</v>
      </c>
      <c r="I221" s="38" t="s">
        <v>686</v>
      </c>
      <c r="J221" s="38" t="s">
        <v>1643</v>
      </c>
      <c r="K221" s="38"/>
      <c r="L221" s="38" t="s">
        <v>1636</v>
      </c>
      <c r="M221" s="39"/>
      <c r="N221" s="38" t="s">
        <v>843</v>
      </c>
      <c r="O221" s="38" t="s">
        <v>390</v>
      </c>
      <c r="P221" s="38" t="s">
        <v>843</v>
      </c>
      <c r="Q221" s="38"/>
      <c r="R221" s="38"/>
      <c r="S221" s="38"/>
    </row>
    <row r="222" spans="1:19" ht="39.6" customHeight="1" x14ac:dyDescent="0.3">
      <c r="A222" s="47">
        <v>73569377</v>
      </c>
      <c r="B222" s="48">
        <v>46017</v>
      </c>
      <c r="C222" s="36" t="s">
        <v>214</v>
      </c>
      <c r="D222" s="47">
        <v>73569377</v>
      </c>
      <c r="E222" s="36" t="s">
        <v>101</v>
      </c>
      <c r="F222" s="37" t="s">
        <v>215</v>
      </c>
      <c r="G222" s="36">
        <v>3002273146</v>
      </c>
      <c r="H222" s="36">
        <v>1</v>
      </c>
      <c r="I222" s="38" t="s">
        <v>636</v>
      </c>
      <c r="J222" s="38" t="s">
        <v>637</v>
      </c>
      <c r="K222" s="36" t="s">
        <v>242</v>
      </c>
      <c r="L222" s="36"/>
      <c r="M222" s="39">
        <v>46035</v>
      </c>
      <c r="N222" s="38" t="s">
        <v>842</v>
      </c>
      <c r="O222" s="38" t="s">
        <v>390</v>
      </c>
      <c r="P222" s="38" t="s">
        <v>842</v>
      </c>
      <c r="Q222" s="38" t="s">
        <v>1559</v>
      </c>
      <c r="R222" s="38"/>
      <c r="S222" s="38" t="s">
        <v>242</v>
      </c>
    </row>
    <row r="223" spans="1:19" ht="39.6" customHeight="1" x14ac:dyDescent="0.3">
      <c r="A223" s="47">
        <v>74081406</v>
      </c>
      <c r="B223" s="39">
        <v>46073</v>
      </c>
      <c r="C223" s="36" t="s">
        <v>1334</v>
      </c>
      <c r="D223" s="47">
        <v>74081406</v>
      </c>
      <c r="E223" s="38" t="s">
        <v>101</v>
      </c>
      <c r="F223" s="37" t="s">
        <v>1344</v>
      </c>
      <c r="G223" s="38">
        <v>3128921226</v>
      </c>
      <c r="H223" s="38">
        <v>3</v>
      </c>
      <c r="I223" s="38" t="s">
        <v>707</v>
      </c>
      <c r="J223" s="38" t="e">
        <v>#REF!</v>
      </c>
      <c r="K223" s="38" t="s">
        <v>1335</v>
      </c>
      <c r="L223" s="38"/>
      <c r="M223" s="39"/>
      <c r="N223" s="38" t="s">
        <v>842</v>
      </c>
      <c r="O223" s="38" t="s">
        <v>390</v>
      </c>
      <c r="P223" s="38" t="s">
        <v>843</v>
      </c>
      <c r="Q223" s="38"/>
      <c r="R223" s="38"/>
      <c r="S223" s="38"/>
    </row>
    <row r="224" spans="1:19" ht="39.6" customHeight="1" x14ac:dyDescent="0.3">
      <c r="A224" s="47">
        <v>74181048</v>
      </c>
      <c r="B224" s="51">
        <v>46032</v>
      </c>
      <c r="C224" s="36" t="s">
        <v>305</v>
      </c>
      <c r="D224" s="47">
        <v>74181048</v>
      </c>
      <c r="E224" s="36" t="s">
        <v>101</v>
      </c>
      <c r="F224" s="37" t="s">
        <v>306</v>
      </c>
      <c r="G224" s="38">
        <v>3204492481</v>
      </c>
      <c r="H224" s="38">
        <v>2</v>
      </c>
      <c r="I224" s="38" t="s">
        <v>665</v>
      </c>
      <c r="J224" s="38" t="s">
        <v>666</v>
      </c>
      <c r="K224" s="38" t="s">
        <v>266</v>
      </c>
      <c r="L224" s="38"/>
      <c r="M224" s="39">
        <v>46039</v>
      </c>
      <c r="N224" s="38" t="s">
        <v>842</v>
      </c>
      <c r="O224" s="38" t="s">
        <v>390</v>
      </c>
      <c r="P224" s="38" t="s">
        <v>842</v>
      </c>
      <c r="Q224" s="38" t="s">
        <v>1559</v>
      </c>
      <c r="R224" s="38"/>
      <c r="S224" s="38" t="s">
        <v>266</v>
      </c>
    </row>
    <row r="225" spans="1:19" ht="39.6" customHeight="1" x14ac:dyDescent="0.3">
      <c r="A225" s="47">
        <v>74183188</v>
      </c>
      <c r="B225" s="39">
        <v>46133</v>
      </c>
      <c r="C225" s="36" t="s">
        <v>1649</v>
      </c>
      <c r="D225" s="47">
        <v>74183188</v>
      </c>
      <c r="E225" s="38" t="s">
        <v>101</v>
      </c>
      <c r="F225" s="37" t="s">
        <v>1660</v>
      </c>
      <c r="G225" s="38">
        <v>3144610194</v>
      </c>
      <c r="H225" s="38">
        <v>3</v>
      </c>
      <c r="I225" s="38" t="s">
        <v>653</v>
      </c>
      <c r="J225" s="38" t="s">
        <v>1667</v>
      </c>
      <c r="K225" s="38" t="s">
        <v>1656</v>
      </c>
      <c r="L225" s="38"/>
      <c r="M225" s="39"/>
      <c r="N225" s="38" t="s">
        <v>842</v>
      </c>
      <c r="O225" s="38" t="s">
        <v>390</v>
      </c>
      <c r="P225" s="38" t="s">
        <v>843</v>
      </c>
      <c r="Q225" s="38"/>
      <c r="R225" s="38"/>
      <c r="S225" s="38"/>
    </row>
    <row r="226" spans="1:19" ht="39.6" customHeight="1" x14ac:dyDescent="0.2">
      <c r="A226" s="47"/>
      <c r="B226" s="39">
        <v>46163</v>
      </c>
      <c r="C226" s="58" t="s">
        <v>1768</v>
      </c>
      <c r="D226" s="58">
        <v>74184093</v>
      </c>
      <c r="E226" s="58" t="s">
        <v>1700</v>
      </c>
      <c r="F226" s="59" t="s">
        <v>1775</v>
      </c>
      <c r="G226" s="38"/>
      <c r="H226" s="60">
        <v>3</v>
      </c>
      <c r="I226" s="38"/>
      <c r="J226" s="38"/>
      <c r="K226" s="38" t="s">
        <v>1777</v>
      </c>
      <c r="L226" s="57"/>
      <c r="M226" s="39">
        <v>46165</v>
      </c>
      <c r="N226" s="38" t="s">
        <v>1705</v>
      </c>
      <c r="O226" s="38"/>
      <c r="P226" s="38"/>
      <c r="Q226" s="38"/>
      <c r="R226" s="38"/>
      <c r="S226" s="38"/>
    </row>
    <row r="227" spans="1:19" ht="39.6" customHeight="1" x14ac:dyDescent="0.3">
      <c r="A227" s="47">
        <v>74244802</v>
      </c>
      <c r="B227" s="39">
        <v>46056</v>
      </c>
      <c r="C227" s="36" t="s">
        <v>947</v>
      </c>
      <c r="D227" s="47">
        <v>74244802</v>
      </c>
      <c r="E227" s="38" t="s">
        <v>101</v>
      </c>
      <c r="F227" s="37" t="s">
        <v>957</v>
      </c>
      <c r="G227" s="38" t="s">
        <v>958</v>
      </c>
      <c r="H227" s="38">
        <v>3</v>
      </c>
      <c r="I227" s="38" t="s">
        <v>632</v>
      </c>
      <c r="J227" s="38" t="s">
        <v>969</v>
      </c>
      <c r="K227" s="38" t="s">
        <v>942</v>
      </c>
      <c r="L227" s="38"/>
      <c r="M227" s="39">
        <v>46063</v>
      </c>
      <c r="N227" s="38" t="s">
        <v>842</v>
      </c>
      <c r="O227" s="38" t="s">
        <v>390</v>
      </c>
      <c r="P227" s="38" t="s">
        <v>842</v>
      </c>
      <c r="Q227" s="38" t="s">
        <v>1560</v>
      </c>
      <c r="R227" s="38" t="s">
        <v>1586</v>
      </c>
      <c r="S227" s="38"/>
    </row>
    <row r="228" spans="1:19" ht="39.6" customHeight="1" x14ac:dyDescent="0.3">
      <c r="A228" s="47">
        <v>75088001</v>
      </c>
      <c r="B228" s="50">
        <v>46029</v>
      </c>
      <c r="C228" s="36" t="s">
        <v>44</v>
      </c>
      <c r="D228" s="47">
        <v>75088001</v>
      </c>
      <c r="E228" s="36" t="s">
        <v>101</v>
      </c>
      <c r="F228" s="37" t="s">
        <v>45</v>
      </c>
      <c r="G228" s="36" t="s">
        <v>46</v>
      </c>
      <c r="H228" s="36">
        <v>4</v>
      </c>
      <c r="I228" s="38" t="s">
        <v>631</v>
      </c>
      <c r="J228" s="38" t="s">
        <v>631</v>
      </c>
      <c r="K228" s="36" t="s">
        <v>258</v>
      </c>
      <c r="L228" s="36"/>
      <c r="M228" s="39">
        <v>46035</v>
      </c>
      <c r="N228" s="38" t="s">
        <v>842</v>
      </c>
      <c r="O228" s="38" t="s">
        <v>390</v>
      </c>
      <c r="P228" s="38" t="s">
        <v>843</v>
      </c>
      <c r="Q228" s="38" t="s">
        <v>1560</v>
      </c>
      <c r="R228" s="38"/>
      <c r="S228" s="38" t="s">
        <v>258</v>
      </c>
    </row>
    <row r="229" spans="1:19" ht="52.8" customHeight="1" x14ac:dyDescent="0.2">
      <c r="A229" s="47">
        <v>75089773</v>
      </c>
      <c r="B229" s="48">
        <v>46050</v>
      </c>
      <c r="C229" s="36" t="s">
        <v>749</v>
      </c>
      <c r="D229" s="47">
        <v>75089773</v>
      </c>
      <c r="E229" s="36" t="s">
        <v>101</v>
      </c>
      <c r="F229" s="37" t="s">
        <v>750</v>
      </c>
      <c r="G229" s="36">
        <v>3007191926</v>
      </c>
      <c r="H229" s="52">
        <v>5</v>
      </c>
      <c r="I229" s="38" t="s">
        <v>645</v>
      </c>
      <c r="J229" s="38" t="s">
        <v>664</v>
      </c>
      <c r="K229" s="52" t="s">
        <v>834</v>
      </c>
      <c r="L229" s="52"/>
      <c r="M229" s="39">
        <v>46062</v>
      </c>
      <c r="N229" s="38" t="s">
        <v>842</v>
      </c>
      <c r="O229" s="38" t="s">
        <v>390</v>
      </c>
      <c r="P229" s="38" t="s">
        <v>842</v>
      </c>
      <c r="Q229" s="38" t="s">
        <v>1559</v>
      </c>
      <c r="R229" s="38"/>
      <c r="S229" s="38" t="s">
        <v>834</v>
      </c>
    </row>
    <row r="230" spans="1:19" ht="39.6" customHeight="1" x14ac:dyDescent="0.3">
      <c r="A230" s="47">
        <v>76308056</v>
      </c>
      <c r="B230" s="39">
        <v>46073</v>
      </c>
      <c r="C230" s="36" t="s">
        <v>1258</v>
      </c>
      <c r="D230" s="47">
        <v>76308056</v>
      </c>
      <c r="E230" s="38" t="s">
        <v>101</v>
      </c>
      <c r="F230" s="37" t="s">
        <v>1259</v>
      </c>
      <c r="G230" s="38" t="s">
        <v>1260</v>
      </c>
      <c r="H230" s="38">
        <v>5</v>
      </c>
      <c r="I230" s="38" t="s">
        <v>634</v>
      </c>
      <c r="J230" s="38" t="e">
        <v>#REF!</v>
      </c>
      <c r="K230" s="38" t="s">
        <v>1228</v>
      </c>
      <c r="L230" s="38"/>
      <c r="M230" s="39">
        <v>46076</v>
      </c>
      <c r="N230" s="38" t="s">
        <v>842</v>
      </c>
      <c r="O230" s="38" t="s">
        <v>390</v>
      </c>
      <c r="P230" s="38" t="s">
        <v>1555</v>
      </c>
      <c r="Q230" s="38" t="s">
        <v>1561</v>
      </c>
      <c r="R230" s="38"/>
      <c r="S230" s="38"/>
    </row>
    <row r="231" spans="1:19" ht="39.6" customHeight="1" x14ac:dyDescent="0.3">
      <c r="A231" s="47">
        <v>76310960</v>
      </c>
      <c r="B231" s="39">
        <v>46041</v>
      </c>
      <c r="C231" s="36" t="s">
        <v>568</v>
      </c>
      <c r="D231" s="47">
        <v>76310960</v>
      </c>
      <c r="E231" s="36" t="s">
        <v>101</v>
      </c>
      <c r="F231" s="37" t="s">
        <v>441</v>
      </c>
      <c r="G231" s="38" t="s">
        <v>442</v>
      </c>
      <c r="H231" s="38">
        <v>5</v>
      </c>
      <c r="I231" s="38" t="s">
        <v>634</v>
      </c>
      <c r="J231" s="38" t="s">
        <v>688</v>
      </c>
      <c r="K231" s="38" t="s">
        <v>840</v>
      </c>
      <c r="L231" s="38"/>
      <c r="M231" s="39">
        <v>46059</v>
      </c>
      <c r="N231" s="38" t="s">
        <v>842</v>
      </c>
      <c r="O231" s="38" t="s">
        <v>390</v>
      </c>
      <c r="P231" s="38" t="s">
        <v>842</v>
      </c>
      <c r="Q231" s="38" t="s">
        <v>1559</v>
      </c>
      <c r="R231" s="38" t="s">
        <v>1575</v>
      </c>
      <c r="S231" s="38" t="s">
        <v>840</v>
      </c>
    </row>
    <row r="232" spans="1:19" ht="39.6" customHeight="1" x14ac:dyDescent="0.3">
      <c r="A232" s="47">
        <v>76312186</v>
      </c>
      <c r="B232" s="39">
        <v>46073</v>
      </c>
      <c r="C232" s="36" t="s">
        <v>1211</v>
      </c>
      <c r="D232" s="47">
        <v>76312186</v>
      </c>
      <c r="E232" s="38" t="s">
        <v>101</v>
      </c>
      <c r="F232" s="37" t="s">
        <v>1212</v>
      </c>
      <c r="G232" s="38" t="s">
        <v>1213</v>
      </c>
      <c r="H232" s="38">
        <v>5</v>
      </c>
      <c r="I232" s="38" t="s">
        <v>634</v>
      </c>
      <c r="J232" s="38" t="s">
        <v>635</v>
      </c>
      <c r="K232" s="38"/>
      <c r="L232" s="38" t="s">
        <v>1196</v>
      </c>
      <c r="M232" s="39">
        <v>46076</v>
      </c>
      <c r="N232" s="38" t="s">
        <v>843</v>
      </c>
      <c r="O232" s="38" t="s">
        <v>390</v>
      </c>
      <c r="P232" s="38" t="s">
        <v>1555</v>
      </c>
      <c r="Q232" s="38" t="s">
        <v>1558</v>
      </c>
      <c r="R232" s="38"/>
      <c r="S232" s="38"/>
    </row>
    <row r="233" spans="1:19" ht="39.6" hidden="1" customHeight="1" x14ac:dyDescent="0.3">
      <c r="A233" s="47">
        <v>76322456</v>
      </c>
      <c r="B233" s="49">
        <v>46020</v>
      </c>
      <c r="C233" s="36" t="s">
        <v>129</v>
      </c>
      <c r="D233" s="47">
        <v>76322456</v>
      </c>
      <c r="E233" s="36" t="s">
        <v>261</v>
      </c>
      <c r="F233" s="37" t="s">
        <v>130</v>
      </c>
      <c r="G233" s="36">
        <v>3004402408</v>
      </c>
      <c r="H233" s="36">
        <v>5</v>
      </c>
      <c r="I233" s="38" t="s">
        <v>634</v>
      </c>
      <c r="J233" s="38" t="s">
        <v>635</v>
      </c>
      <c r="K233" s="36" t="s">
        <v>245</v>
      </c>
      <c r="L233" s="36"/>
      <c r="M233" s="39">
        <v>46035</v>
      </c>
      <c r="N233" s="38" t="s">
        <v>842</v>
      </c>
      <c r="O233" s="38" t="s">
        <v>380</v>
      </c>
      <c r="P233" s="38" t="s">
        <v>842</v>
      </c>
      <c r="Q233" s="38" t="s">
        <v>1559</v>
      </c>
      <c r="R233" s="38"/>
      <c r="S233" s="38" t="s">
        <v>245</v>
      </c>
    </row>
    <row r="234" spans="1:19" ht="39.6" customHeight="1" x14ac:dyDescent="0.3">
      <c r="A234" s="47">
        <v>76326736</v>
      </c>
      <c r="B234" s="39">
        <v>46073</v>
      </c>
      <c r="C234" s="36" t="s">
        <v>1198</v>
      </c>
      <c r="D234" s="47">
        <v>76326736</v>
      </c>
      <c r="E234" s="38" t="s">
        <v>101</v>
      </c>
      <c r="F234" s="37" t="s">
        <v>1199</v>
      </c>
      <c r="G234" s="38">
        <v>3146921623</v>
      </c>
      <c r="H234" s="38">
        <v>5</v>
      </c>
      <c r="I234" s="38" t="s">
        <v>634</v>
      </c>
      <c r="J234" s="38" t="e">
        <v>#REF!</v>
      </c>
      <c r="K234" s="38"/>
      <c r="L234" s="38" t="s">
        <v>1196</v>
      </c>
      <c r="M234" s="39">
        <v>46076</v>
      </c>
      <c r="N234" s="38" t="s">
        <v>843</v>
      </c>
      <c r="O234" s="38" t="s">
        <v>390</v>
      </c>
      <c r="P234" s="38" t="s">
        <v>1555</v>
      </c>
      <c r="Q234" s="38" t="s">
        <v>1558</v>
      </c>
      <c r="R234" s="38"/>
      <c r="S234" s="38"/>
    </row>
    <row r="235" spans="1:19" ht="39.6" customHeight="1" x14ac:dyDescent="0.3">
      <c r="A235" s="47">
        <v>77020466</v>
      </c>
      <c r="B235" s="39">
        <v>46097</v>
      </c>
      <c r="C235" s="38" t="s">
        <v>1426</v>
      </c>
      <c r="D235" s="47">
        <v>77020466</v>
      </c>
      <c r="E235" s="38" t="s">
        <v>349</v>
      </c>
      <c r="F235" s="37" t="s">
        <v>1459</v>
      </c>
      <c r="G235" s="38">
        <v>3117255709</v>
      </c>
      <c r="H235" s="38">
        <v>1</v>
      </c>
      <c r="I235" s="38" t="s">
        <v>638</v>
      </c>
      <c r="J235" s="38" t="e">
        <v>#REF!</v>
      </c>
      <c r="K235" s="38" t="s">
        <v>1418</v>
      </c>
      <c r="L235" s="38"/>
      <c r="M235" s="39"/>
      <c r="N235" s="38" t="s">
        <v>842</v>
      </c>
      <c r="O235" s="38" t="s">
        <v>390</v>
      </c>
      <c r="P235" s="38" t="s">
        <v>843</v>
      </c>
      <c r="Q235" s="38"/>
      <c r="R235" s="38"/>
      <c r="S235" s="38"/>
    </row>
    <row r="236" spans="1:19" ht="39.6" customHeight="1" x14ac:dyDescent="0.3">
      <c r="A236" s="47">
        <v>77032423</v>
      </c>
      <c r="B236" s="48">
        <v>46017</v>
      </c>
      <c r="C236" s="36" t="s">
        <v>204</v>
      </c>
      <c r="D236" s="47">
        <v>77032423</v>
      </c>
      <c r="E236" s="36" t="s">
        <v>101</v>
      </c>
      <c r="F236" s="37" t="s">
        <v>205</v>
      </c>
      <c r="G236" s="36" t="s">
        <v>206</v>
      </c>
      <c r="H236" s="36">
        <v>1</v>
      </c>
      <c r="I236" s="38" t="s">
        <v>638</v>
      </c>
      <c r="J236" s="38" t="s">
        <v>639</v>
      </c>
      <c r="K236" s="36" t="s">
        <v>242</v>
      </c>
      <c r="L236" s="36"/>
      <c r="M236" s="39">
        <v>46035</v>
      </c>
      <c r="N236" s="38" t="s">
        <v>842</v>
      </c>
      <c r="O236" s="38" t="s">
        <v>390</v>
      </c>
      <c r="P236" s="38" t="s">
        <v>842</v>
      </c>
      <c r="Q236" s="38" t="s">
        <v>1559</v>
      </c>
      <c r="R236" s="38"/>
      <c r="S236" s="38" t="s">
        <v>242</v>
      </c>
    </row>
    <row r="237" spans="1:19" ht="39.6" customHeight="1" x14ac:dyDescent="0.3">
      <c r="A237" s="47">
        <v>77033136</v>
      </c>
      <c r="B237" s="39">
        <v>46062</v>
      </c>
      <c r="C237" s="36" t="s">
        <v>1032</v>
      </c>
      <c r="D237" s="47">
        <v>77033136</v>
      </c>
      <c r="E237" s="38" t="s">
        <v>101</v>
      </c>
      <c r="F237" s="37" t="s">
        <v>1033</v>
      </c>
      <c r="G237" s="38">
        <v>3167650472</v>
      </c>
      <c r="H237" s="38">
        <v>1</v>
      </c>
      <c r="I237" s="38" t="s">
        <v>638</v>
      </c>
      <c r="J237" s="38" t="e">
        <v>#REF!</v>
      </c>
      <c r="K237" s="38" t="s">
        <v>1017</v>
      </c>
      <c r="L237" s="38"/>
      <c r="M237" s="39">
        <v>46072</v>
      </c>
      <c r="N237" s="38" t="s">
        <v>842</v>
      </c>
      <c r="O237" s="38" t="s">
        <v>390</v>
      </c>
      <c r="P237" s="38" t="s">
        <v>843</v>
      </c>
      <c r="Q237" s="38" t="s">
        <v>1561</v>
      </c>
      <c r="R237" s="38"/>
      <c r="S237" s="38"/>
    </row>
    <row r="238" spans="1:19" ht="39.6" hidden="1" customHeight="1" x14ac:dyDescent="0.3">
      <c r="A238" s="47">
        <v>77036199</v>
      </c>
      <c r="B238" s="48">
        <v>46017</v>
      </c>
      <c r="C238" s="36" t="s">
        <v>239</v>
      </c>
      <c r="D238" s="47">
        <v>77036199</v>
      </c>
      <c r="E238" s="36" t="s">
        <v>384</v>
      </c>
      <c r="F238" s="37" t="s">
        <v>240</v>
      </c>
      <c r="G238" s="36">
        <v>3135917772</v>
      </c>
      <c r="H238" s="36">
        <v>1</v>
      </c>
      <c r="I238" s="38" t="s">
        <v>641</v>
      </c>
      <c r="J238" s="38" t="s">
        <v>720</v>
      </c>
      <c r="K238" s="36" t="s">
        <v>242</v>
      </c>
      <c r="L238" s="36"/>
      <c r="M238" s="39">
        <v>46035</v>
      </c>
      <c r="N238" s="38" t="s">
        <v>842</v>
      </c>
      <c r="O238" s="38" t="s">
        <v>380</v>
      </c>
      <c r="P238" s="38" t="s">
        <v>843</v>
      </c>
      <c r="Q238" s="38" t="s">
        <v>1560</v>
      </c>
      <c r="R238" s="38" t="s">
        <v>1564</v>
      </c>
      <c r="S238" s="38" t="s">
        <v>242</v>
      </c>
    </row>
    <row r="239" spans="1:19" ht="39.6" customHeight="1" x14ac:dyDescent="0.3">
      <c r="A239" s="45">
        <v>77143974</v>
      </c>
      <c r="B239" s="51">
        <v>46149</v>
      </c>
      <c r="C239" s="45" t="s">
        <v>1706</v>
      </c>
      <c r="D239" s="45">
        <v>77143974</v>
      </c>
      <c r="E239" s="45" t="s">
        <v>1700</v>
      </c>
      <c r="F239" s="37" t="s">
        <v>1710</v>
      </c>
      <c r="G239" s="45"/>
      <c r="H239" s="45">
        <v>1</v>
      </c>
      <c r="I239" s="38" t="s">
        <v>638</v>
      </c>
      <c r="J239" s="38"/>
      <c r="K239" s="38"/>
      <c r="L239" s="38" t="s">
        <v>1695</v>
      </c>
      <c r="M239" s="39">
        <v>46153</v>
      </c>
      <c r="N239" s="38" t="s">
        <v>1555</v>
      </c>
      <c r="O239" s="38"/>
      <c r="P239" s="38" t="s">
        <v>843</v>
      </c>
      <c r="Q239" s="38"/>
      <c r="R239" s="38"/>
      <c r="S239" s="38"/>
    </row>
    <row r="240" spans="1:19" ht="39.6" customHeight="1" x14ac:dyDescent="0.3">
      <c r="A240" s="47">
        <v>77216111</v>
      </c>
      <c r="B240" s="48">
        <v>46017</v>
      </c>
      <c r="C240" s="36" t="s">
        <v>207</v>
      </c>
      <c r="D240" s="47">
        <v>72216111</v>
      </c>
      <c r="E240" s="36" t="s">
        <v>101</v>
      </c>
      <c r="F240" s="37" t="s">
        <v>208</v>
      </c>
      <c r="G240" s="36">
        <v>3017542657</v>
      </c>
      <c r="H240" s="36">
        <v>1</v>
      </c>
      <c r="I240" s="38" t="s">
        <v>636</v>
      </c>
      <c r="J240" s="38" t="s">
        <v>675</v>
      </c>
      <c r="K240" s="36" t="s">
        <v>242</v>
      </c>
      <c r="L240" s="36"/>
      <c r="M240" s="39">
        <v>46035</v>
      </c>
      <c r="N240" s="38" t="s">
        <v>842</v>
      </c>
      <c r="O240" s="38" t="s">
        <v>390</v>
      </c>
      <c r="P240" s="38" t="s">
        <v>842</v>
      </c>
      <c r="Q240" s="38" t="s">
        <v>1559</v>
      </c>
      <c r="R240" s="38"/>
      <c r="S240" s="38" t="s">
        <v>242</v>
      </c>
    </row>
    <row r="241" spans="1:19" ht="39.6" customHeight="1" x14ac:dyDescent="0.3">
      <c r="A241" s="47">
        <v>77230090</v>
      </c>
      <c r="B241" s="39">
        <v>46073</v>
      </c>
      <c r="C241" s="36" t="s">
        <v>1206</v>
      </c>
      <c r="D241" s="47">
        <v>77230090</v>
      </c>
      <c r="E241" s="38" t="s">
        <v>101</v>
      </c>
      <c r="F241" s="37" t="s">
        <v>1207</v>
      </c>
      <c r="G241" s="38" t="s">
        <v>1208</v>
      </c>
      <c r="H241" s="38">
        <v>4</v>
      </c>
      <c r="I241" s="38" t="s">
        <v>661</v>
      </c>
      <c r="J241" s="38" t="s">
        <v>662</v>
      </c>
      <c r="K241" s="38"/>
      <c r="L241" s="38" t="s">
        <v>1196</v>
      </c>
      <c r="M241" s="39">
        <v>46076</v>
      </c>
      <c r="N241" s="38" t="s">
        <v>843</v>
      </c>
      <c r="O241" s="38" t="s">
        <v>390</v>
      </c>
      <c r="P241" s="38" t="s">
        <v>1555</v>
      </c>
      <c r="Q241" s="38" t="s">
        <v>1558</v>
      </c>
      <c r="R241" s="38"/>
      <c r="S241" s="38"/>
    </row>
    <row r="242" spans="1:19" ht="39.6" customHeight="1" x14ac:dyDescent="0.3">
      <c r="A242" s="47">
        <v>78026323</v>
      </c>
      <c r="B242" s="39">
        <v>46097</v>
      </c>
      <c r="C242" s="38" t="s">
        <v>1430</v>
      </c>
      <c r="D242" s="47">
        <v>78026323</v>
      </c>
      <c r="E242" s="38" t="s">
        <v>101</v>
      </c>
      <c r="F242" s="37" t="s">
        <v>1465</v>
      </c>
      <c r="G242" s="38">
        <v>3152877554</v>
      </c>
      <c r="H242" s="38">
        <v>1</v>
      </c>
      <c r="I242" s="38" t="s">
        <v>641</v>
      </c>
      <c r="J242" s="38" t="e">
        <v>#REF!</v>
      </c>
      <c r="K242" s="38" t="s">
        <v>1418</v>
      </c>
      <c r="L242" s="38"/>
      <c r="M242" s="39"/>
      <c r="N242" s="38" t="s">
        <v>842</v>
      </c>
      <c r="O242" s="38" t="s">
        <v>390</v>
      </c>
      <c r="P242" s="38" t="s">
        <v>842</v>
      </c>
      <c r="Q242" s="38"/>
      <c r="R242" s="38"/>
      <c r="S242" s="38"/>
    </row>
    <row r="243" spans="1:19" ht="39.6" customHeight="1" x14ac:dyDescent="0.3">
      <c r="A243" s="47">
        <v>78038151</v>
      </c>
      <c r="B243" s="39">
        <v>46041</v>
      </c>
      <c r="C243" s="36" t="s">
        <v>521</v>
      </c>
      <c r="D243" s="47">
        <v>78038151</v>
      </c>
      <c r="E243" s="36" t="s">
        <v>349</v>
      </c>
      <c r="F243" s="37" t="s">
        <v>522</v>
      </c>
      <c r="G243" s="38" t="s">
        <v>523</v>
      </c>
      <c r="H243" s="38">
        <v>1</v>
      </c>
      <c r="I243" s="38" t="s">
        <v>641</v>
      </c>
      <c r="J243" s="38" t="e">
        <v>#REF!</v>
      </c>
      <c r="K243" s="42"/>
      <c r="L243" s="39" t="s">
        <v>518</v>
      </c>
      <c r="M243" s="39">
        <v>46049</v>
      </c>
      <c r="N243" s="38" t="s">
        <v>843</v>
      </c>
      <c r="O243" s="38" t="s">
        <v>390</v>
      </c>
      <c r="P243" s="38" t="s">
        <v>843</v>
      </c>
      <c r="Q243" s="38" t="s">
        <v>1561</v>
      </c>
      <c r="R243" s="38"/>
      <c r="S243" s="38"/>
    </row>
    <row r="244" spans="1:19" ht="52.8" customHeight="1" x14ac:dyDescent="0.3">
      <c r="A244" s="47">
        <v>78690475</v>
      </c>
      <c r="B244" s="39">
        <v>46097</v>
      </c>
      <c r="C244" s="38" t="s">
        <v>1444</v>
      </c>
      <c r="D244" s="47">
        <v>78690475</v>
      </c>
      <c r="E244" s="36" t="s">
        <v>101</v>
      </c>
      <c r="F244" s="37" t="s">
        <v>1481</v>
      </c>
      <c r="G244" s="38">
        <v>3008386805</v>
      </c>
      <c r="H244" s="38">
        <v>1</v>
      </c>
      <c r="I244" s="38" t="s">
        <v>641</v>
      </c>
      <c r="J244" s="38" t="e">
        <v>#REF!</v>
      </c>
      <c r="K244" s="38" t="s">
        <v>1418</v>
      </c>
      <c r="L244" s="38"/>
      <c r="M244" s="39"/>
      <c r="N244" s="38" t="s">
        <v>842</v>
      </c>
      <c r="O244" s="38" t="s">
        <v>390</v>
      </c>
      <c r="P244" s="38" t="s">
        <v>842</v>
      </c>
      <c r="Q244" s="38"/>
      <c r="R244" s="38"/>
      <c r="S244" s="38"/>
    </row>
    <row r="245" spans="1:19" ht="39.6" customHeight="1" x14ac:dyDescent="0.3">
      <c r="A245" s="47">
        <v>78758336</v>
      </c>
      <c r="B245" s="49">
        <v>46020</v>
      </c>
      <c r="C245" s="36" t="s">
        <v>155</v>
      </c>
      <c r="D245" s="47">
        <v>78758336</v>
      </c>
      <c r="E245" s="36" t="s">
        <v>101</v>
      </c>
      <c r="F245" s="37" t="s">
        <v>156</v>
      </c>
      <c r="G245" s="36">
        <v>3015966483</v>
      </c>
      <c r="H245" s="36">
        <v>1</v>
      </c>
      <c r="I245" s="38" t="s">
        <v>641</v>
      </c>
      <c r="J245" s="38" t="s">
        <v>696</v>
      </c>
      <c r="K245" s="36" t="s">
        <v>839</v>
      </c>
      <c r="L245" s="36"/>
      <c r="M245" s="39">
        <v>46062</v>
      </c>
      <c r="N245" s="38" t="s">
        <v>842</v>
      </c>
      <c r="O245" s="38" t="s">
        <v>390</v>
      </c>
      <c r="P245" s="38" t="s">
        <v>843</v>
      </c>
      <c r="Q245" s="38" t="s">
        <v>1560</v>
      </c>
      <c r="R245" s="38"/>
      <c r="S245" s="38" t="s">
        <v>839</v>
      </c>
    </row>
    <row r="246" spans="1:19" ht="39.6" customHeight="1" x14ac:dyDescent="0.3">
      <c r="A246" s="47">
        <v>79451771</v>
      </c>
      <c r="B246" s="39">
        <v>46062</v>
      </c>
      <c r="C246" s="36" t="s">
        <v>1023</v>
      </c>
      <c r="D246" s="47">
        <v>79451771</v>
      </c>
      <c r="E246" s="38" t="s">
        <v>101</v>
      </c>
      <c r="F246" s="37" t="s">
        <v>1024</v>
      </c>
      <c r="G246" s="38">
        <v>3002913920</v>
      </c>
      <c r="H246" s="38">
        <v>4</v>
      </c>
      <c r="I246" s="38" t="s">
        <v>631</v>
      </c>
      <c r="J246" s="38" t="s">
        <v>631</v>
      </c>
      <c r="K246" s="38" t="s">
        <v>1017</v>
      </c>
      <c r="L246" s="38"/>
      <c r="M246" s="39">
        <v>46072</v>
      </c>
      <c r="N246" s="38" t="s">
        <v>842</v>
      </c>
      <c r="O246" s="38" t="s">
        <v>390</v>
      </c>
      <c r="P246" s="38" t="s">
        <v>843</v>
      </c>
      <c r="Q246" s="38" t="s">
        <v>1561</v>
      </c>
      <c r="R246" s="38" t="s">
        <v>1588</v>
      </c>
      <c r="S246" s="38"/>
    </row>
    <row r="247" spans="1:19" ht="39.6" customHeight="1" x14ac:dyDescent="0.3">
      <c r="A247" s="47">
        <v>79465717</v>
      </c>
      <c r="B247" s="49">
        <v>46020</v>
      </c>
      <c r="C247" s="36" t="s">
        <v>112</v>
      </c>
      <c r="D247" s="47">
        <v>79465717</v>
      </c>
      <c r="E247" s="36" t="s">
        <v>101</v>
      </c>
      <c r="F247" s="37" t="s">
        <v>113</v>
      </c>
      <c r="G247" s="36">
        <v>3142738255</v>
      </c>
      <c r="H247" s="36">
        <v>4</v>
      </c>
      <c r="I247" s="38" t="s">
        <v>631</v>
      </c>
      <c r="J247" s="38" t="s">
        <v>631</v>
      </c>
      <c r="K247" s="36" t="s">
        <v>245</v>
      </c>
      <c r="L247" s="36"/>
      <c r="M247" s="39">
        <v>46035</v>
      </c>
      <c r="N247" s="38" t="s">
        <v>842</v>
      </c>
      <c r="O247" s="38" t="s">
        <v>390</v>
      </c>
      <c r="P247" s="38" t="s">
        <v>842</v>
      </c>
      <c r="Q247" s="38" t="s">
        <v>1559</v>
      </c>
      <c r="R247" s="38"/>
      <c r="S247" s="38" t="s">
        <v>245</v>
      </c>
    </row>
    <row r="248" spans="1:19" ht="39.6" hidden="1" customHeight="1" x14ac:dyDescent="0.3">
      <c r="A248" s="47">
        <v>79600175</v>
      </c>
      <c r="B248" s="49">
        <v>46020</v>
      </c>
      <c r="C248" s="36" t="s">
        <v>12</v>
      </c>
      <c r="D248" s="47">
        <v>79600175</v>
      </c>
      <c r="E248" s="36" t="s">
        <v>261</v>
      </c>
      <c r="F248" s="37" t="s">
        <v>1535</v>
      </c>
      <c r="G248" s="36">
        <v>3232150929</v>
      </c>
      <c r="H248" s="36">
        <v>4</v>
      </c>
      <c r="I248" s="38" t="s">
        <v>970</v>
      </c>
      <c r="J248" s="38" t="s">
        <v>700</v>
      </c>
      <c r="K248" s="36" t="s">
        <v>258</v>
      </c>
      <c r="L248" s="36" t="s">
        <v>254</v>
      </c>
      <c r="M248" s="39">
        <v>46035</v>
      </c>
      <c r="N248" s="38" t="s">
        <v>842</v>
      </c>
      <c r="O248" s="38" t="s">
        <v>380</v>
      </c>
      <c r="P248" s="38" t="s">
        <v>842</v>
      </c>
      <c r="Q248" s="38" t="s">
        <v>1559</v>
      </c>
      <c r="R248" s="38"/>
      <c r="S248" s="38" t="s">
        <v>258</v>
      </c>
    </row>
    <row r="249" spans="1:19" ht="52.8" customHeight="1" x14ac:dyDescent="0.2">
      <c r="A249" s="47">
        <v>79621971</v>
      </c>
      <c r="B249" s="39">
        <v>46050</v>
      </c>
      <c r="C249" s="36" t="s">
        <v>851</v>
      </c>
      <c r="D249" s="47">
        <v>79621971</v>
      </c>
      <c r="E249" s="38" t="s">
        <v>101</v>
      </c>
      <c r="F249" s="37" t="s">
        <v>860</v>
      </c>
      <c r="G249" s="44">
        <v>5494902</v>
      </c>
      <c r="H249" s="38">
        <v>4</v>
      </c>
      <c r="I249" s="38" t="s">
        <v>631</v>
      </c>
      <c r="J249" s="38" t="s">
        <v>631</v>
      </c>
      <c r="K249" s="38" t="s">
        <v>854</v>
      </c>
      <c r="L249" s="38"/>
      <c r="M249" s="39">
        <v>46062</v>
      </c>
      <c r="N249" s="38" t="s">
        <v>842</v>
      </c>
      <c r="O249" s="38" t="s">
        <v>390</v>
      </c>
      <c r="P249" s="38" t="s">
        <v>843</v>
      </c>
      <c r="Q249" s="38" t="s">
        <v>1561</v>
      </c>
      <c r="R249" s="38" t="s">
        <v>1583</v>
      </c>
      <c r="S249" s="38"/>
    </row>
    <row r="250" spans="1:19" ht="39.6" customHeight="1" x14ac:dyDescent="0.2">
      <c r="A250" s="47">
        <v>79639492</v>
      </c>
      <c r="B250" s="48">
        <v>46050</v>
      </c>
      <c r="C250" s="36" t="s">
        <v>751</v>
      </c>
      <c r="D250" s="47">
        <v>79639492</v>
      </c>
      <c r="E250" s="36" t="s">
        <v>101</v>
      </c>
      <c r="F250" s="37" t="s">
        <v>752</v>
      </c>
      <c r="G250" s="36">
        <v>3028208812</v>
      </c>
      <c r="H250" s="52">
        <v>4</v>
      </c>
      <c r="I250" s="38" t="s">
        <v>631</v>
      </c>
      <c r="J250" s="38" t="s">
        <v>631</v>
      </c>
      <c r="K250" s="52"/>
      <c r="L250" s="52" t="s">
        <v>836</v>
      </c>
      <c r="M250" s="39">
        <v>46062</v>
      </c>
      <c r="N250" s="38" t="s">
        <v>843</v>
      </c>
      <c r="O250" s="38" t="s">
        <v>390</v>
      </c>
      <c r="P250" s="38" t="s">
        <v>843</v>
      </c>
      <c r="Q250" s="38" t="s">
        <v>1558</v>
      </c>
      <c r="R250" s="38"/>
      <c r="S250" s="38"/>
    </row>
    <row r="251" spans="1:19" ht="39.6" customHeight="1" x14ac:dyDescent="0.3">
      <c r="A251" s="47">
        <v>79703448</v>
      </c>
      <c r="B251" s="39">
        <v>46062</v>
      </c>
      <c r="C251" s="36" t="s">
        <v>1073</v>
      </c>
      <c r="D251" s="47">
        <v>79703448</v>
      </c>
      <c r="E251" s="38" t="s">
        <v>101</v>
      </c>
      <c r="F251" s="37" t="s">
        <v>1074</v>
      </c>
      <c r="G251" s="38">
        <v>3175029500</v>
      </c>
      <c r="H251" s="38">
        <v>2</v>
      </c>
      <c r="I251" s="38" t="s">
        <v>647</v>
      </c>
      <c r="J251" s="38" t="s">
        <v>1121</v>
      </c>
      <c r="K251" s="38" t="s">
        <v>1064</v>
      </c>
      <c r="L251" s="38"/>
      <c r="M251" s="39">
        <v>46072</v>
      </c>
      <c r="N251" s="38" t="s">
        <v>842</v>
      </c>
      <c r="O251" s="38" t="s">
        <v>390</v>
      </c>
      <c r="P251" s="38" t="s">
        <v>842</v>
      </c>
      <c r="Q251" s="38" t="s">
        <v>1559</v>
      </c>
      <c r="R251" s="38" t="s">
        <v>1585</v>
      </c>
      <c r="S251" s="38"/>
    </row>
    <row r="252" spans="1:19" ht="39.6" customHeight="1" x14ac:dyDescent="0.3">
      <c r="A252" s="47">
        <v>79873274</v>
      </c>
      <c r="B252" s="39">
        <v>46041</v>
      </c>
      <c r="C252" s="36" t="s">
        <v>524</v>
      </c>
      <c r="D252" s="47">
        <v>79873274</v>
      </c>
      <c r="E252" s="36" t="s">
        <v>349</v>
      </c>
      <c r="F252" s="37" t="s">
        <v>525</v>
      </c>
      <c r="G252" s="38" t="s">
        <v>526</v>
      </c>
      <c r="H252" s="38">
        <v>4</v>
      </c>
      <c r="I252" s="38" t="s">
        <v>631</v>
      </c>
      <c r="J252" s="38" t="s">
        <v>631</v>
      </c>
      <c r="K252" s="42"/>
      <c r="L252" s="39" t="s">
        <v>518</v>
      </c>
      <c r="M252" s="39">
        <v>46049</v>
      </c>
      <c r="N252" s="38" t="s">
        <v>843</v>
      </c>
      <c r="O252" s="38" t="s">
        <v>390</v>
      </c>
      <c r="P252" s="38" t="s">
        <v>843</v>
      </c>
      <c r="Q252" s="38" t="s">
        <v>1562</v>
      </c>
      <c r="R252" s="38"/>
      <c r="S252" s="38"/>
    </row>
    <row r="253" spans="1:19" ht="39.6" customHeight="1" x14ac:dyDescent="0.2">
      <c r="A253" s="47">
        <v>79951791</v>
      </c>
      <c r="B253" s="39">
        <v>46050</v>
      </c>
      <c r="C253" s="36" t="s">
        <v>846</v>
      </c>
      <c r="D253" s="47">
        <v>79951791</v>
      </c>
      <c r="E253" s="38" t="s">
        <v>101</v>
      </c>
      <c r="F253" s="37" t="s">
        <v>913</v>
      </c>
      <c r="G253" s="44">
        <v>3152724744</v>
      </c>
      <c r="H253" s="38">
        <v>4</v>
      </c>
      <c r="I253" s="38" t="s">
        <v>631</v>
      </c>
      <c r="J253" s="38" t="s">
        <v>631</v>
      </c>
      <c r="K253" s="38" t="s">
        <v>854</v>
      </c>
      <c r="L253" s="38"/>
      <c r="M253" s="39">
        <v>46062</v>
      </c>
      <c r="N253" s="38" t="s">
        <v>842</v>
      </c>
      <c r="O253" s="38" t="s">
        <v>390</v>
      </c>
      <c r="P253" s="38" t="s">
        <v>842</v>
      </c>
      <c r="Q253" s="38" t="s">
        <v>1559</v>
      </c>
      <c r="R253" s="38"/>
      <c r="S253" s="38"/>
    </row>
    <row r="254" spans="1:19" ht="52.8" customHeight="1" x14ac:dyDescent="0.3">
      <c r="A254" s="47">
        <v>79977580</v>
      </c>
      <c r="B254" s="51">
        <v>46032</v>
      </c>
      <c r="C254" s="36" t="s">
        <v>296</v>
      </c>
      <c r="D254" s="47">
        <v>79977580</v>
      </c>
      <c r="E254" s="36" t="s">
        <v>101</v>
      </c>
      <c r="F254" s="37" t="s">
        <v>297</v>
      </c>
      <c r="G254" s="38">
        <v>3203479612</v>
      </c>
      <c r="H254" s="38">
        <v>4</v>
      </c>
      <c r="I254" s="38" t="s">
        <v>631</v>
      </c>
      <c r="J254" s="38" t="s">
        <v>631</v>
      </c>
      <c r="K254" s="38" t="s">
        <v>266</v>
      </c>
      <c r="L254" s="38"/>
      <c r="M254" s="39">
        <v>46039</v>
      </c>
      <c r="N254" s="38" t="s">
        <v>842</v>
      </c>
      <c r="O254" s="38" t="s">
        <v>390</v>
      </c>
      <c r="P254" s="38" t="s">
        <v>842</v>
      </c>
      <c r="Q254" s="38" t="s">
        <v>1559</v>
      </c>
      <c r="R254" s="38"/>
      <c r="S254" s="38" t="s">
        <v>266</v>
      </c>
    </row>
    <row r="255" spans="1:19" ht="52.8" hidden="1" customHeight="1" x14ac:dyDescent="0.3">
      <c r="A255" s="47">
        <v>79994816</v>
      </c>
      <c r="B255" s="49">
        <v>46020</v>
      </c>
      <c r="C255" s="36" t="s">
        <v>120</v>
      </c>
      <c r="D255" s="47">
        <v>79994816</v>
      </c>
      <c r="E255" s="36" t="s">
        <v>382</v>
      </c>
      <c r="F255" s="37" t="s">
        <v>121</v>
      </c>
      <c r="G255" s="36">
        <v>3058136798</v>
      </c>
      <c r="H255" s="36">
        <v>4</v>
      </c>
      <c r="I255" s="38" t="s">
        <v>631</v>
      </c>
      <c r="J255" s="38" t="s">
        <v>631</v>
      </c>
      <c r="K255" s="36" t="s">
        <v>245</v>
      </c>
      <c r="L255" s="36"/>
      <c r="M255" s="39">
        <v>46035</v>
      </c>
      <c r="N255" s="38" t="s">
        <v>842</v>
      </c>
      <c r="O255" s="38" t="s">
        <v>380</v>
      </c>
      <c r="P255" s="38" t="s">
        <v>842</v>
      </c>
      <c r="Q255" s="38" t="s">
        <v>1559</v>
      </c>
      <c r="R255" s="38"/>
      <c r="S255" s="38" t="s">
        <v>245</v>
      </c>
    </row>
    <row r="256" spans="1:19" ht="39.6" customHeight="1" x14ac:dyDescent="0.2">
      <c r="A256" s="47">
        <v>80037495</v>
      </c>
      <c r="B256" s="48">
        <v>46045</v>
      </c>
      <c r="C256" s="36" t="s">
        <v>753</v>
      </c>
      <c r="D256" s="47">
        <v>80037495</v>
      </c>
      <c r="E256" s="36" t="s">
        <v>349</v>
      </c>
      <c r="F256" s="37" t="s">
        <v>754</v>
      </c>
      <c r="G256" s="36">
        <v>3112500290</v>
      </c>
      <c r="H256" s="52">
        <v>4</v>
      </c>
      <c r="I256" s="38" t="s">
        <v>631</v>
      </c>
      <c r="J256" s="38" t="s">
        <v>631</v>
      </c>
      <c r="K256" s="52" t="s">
        <v>833</v>
      </c>
      <c r="L256" s="52"/>
      <c r="M256" s="39">
        <v>46062</v>
      </c>
      <c r="N256" s="38" t="s">
        <v>842</v>
      </c>
      <c r="O256" s="38" t="s">
        <v>390</v>
      </c>
      <c r="P256" s="38" t="s">
        <v>842</v>
      </c>
      <c r="Q256" s="38" t="s">
        <v>1559</v>
      </c>
      <c r="R256" s="38"/>
      <c r="S256" s="38" t="s">
        <v>833</v>
      </c>
    </row>
    <row r="257" spans="1:19" ht="39.6" customHeight="1" x14ac:dyDescent="0.3">
      <c r="A257" s="47">
        <v>80038855</v>
      </c>
      <c r="B257" s="39">
        <v>46045</v>
      </c>
      <c r="C257" s="36" t="s">
        <v>622</v>
      </c>
      <c r="D257" s="47">
        <v>80038855</v>
      </c>
      <c r="E257" s="36" t="s">
        <v>101</v>
      </c>
      <c r="F257" s="37" t="s">
        <v>603</v>
      </c>
      <c r="G257" s="38">
        <v>3175829147</v>
      </c>
      <c r="H257" s="38">
        <v>2</v>
      </c>
      <c r="I257" s="38" t="s">
        <v>631</v>
      </c>
      <c r="J257" s="38" t="s">
        <v>631</v>
      </c>
      <c r="K257" s="38" t="s">
        <v>589</v>
      </c>
      <c r="L257" s="38"/>
      <c r="M257" s="39">
        <v>46049</v>
      </c>
      <c r="N257" s="38" t="s">
        <v>842</v>
      </c>
      <c r="O257" s="38" t="s">
        <v>390</v>
      </c>
      <c r="P257" s="38" t="s">
        <v>842</v>
      </c>
      <c r="Q257" s="38" t="s">
        <v>1559</v>
      </c>
      <c r="R257" s="38"/>
      <c r="S257" s="38" t="s">
        <v>589</v>
      </c>
    </row>
    <row r="258" spans="1:19" ht="39.6" customHeight="1" x14ac:dyDescent="0.3">
      <c r="A258" s="47">
        <v>80095778</v>
      </c>
      <c r="B258" s="51">
        <v>46032</v>
      </c>
      <c r="C258" s="36" t="s">
        <v>286</v>
      </c>
      <c r="D258" s="47">
        <v>80095778</v>
      </c>
      <c r="E258" s="36" t="s">
        <v>101</v>
      </c>
      <c r="F258" s="37" t="s">
        <v>287</v>
      </c>
      <c r="G258" s="43" t="s">
        <v>288</v>
      </c>
      <c r="H258" s="38">
        <v>4</v>
      </c>
      <c r="I258" s="38" t="s">
        <v>631</v>
      </c>
      <c r="J258" s="38" t="s">
        <v>631</v>
      </c>
      <c r="K258" s="38" t="s">
        <v>266</v>
      </c>
      <c r="L258" s="38"/>
      <c r="M258" s="39">
        <v>46039</v>
      </c>
      <c r="N258" s="38" t="s">
        <v>842</v>
      </c>
      <c r="O258" s="38" t="s">
        <v>390</v>
      </c>
      <c r="P258" s="38" t="s">
        <v>843</v>
      </c>
      <c r="Q258" s="38" t="s">
        <v>1560</v>
      </c>
      <c r="R258" s="38"/>
      <c r="S258" s="38" t="s">
        <v>266</v>
      </c>
    </row>
    <row r="259" spans="1:19" ht="39.6" customHeight="1" x14ac:dyDescent="0.2">
      <c r="A259" s="47">
        <v>80166072</v>
      </c>
      <c r="B259" s="48" t="s">
        <v>1154</v>
      </c>
      <c r="C259" s="36" t="s">
        <v>755</v>
      </c>
      <c r="D259" s="47">
        <v>80166072</v>
      </c>
      <c r="E259" s="36" t="s">
        <v>349</v>
      </c>
      <c r="F259" s="37" t="s">
        <v>756</v>
      </c>
      <c r="G259" s="36">
        <v>3003898501</v>
      </c>
      <c r="H259" s="52">
        <v>4</v>
      </c>
      <c r="I259" s="38" t="s">
        <v>631</v>
      </c>
      <c r="J259" s="38" t="s">
        <v>631</v>
      </c>
      <c r="K259" s="38" t="s">
        <v>1152</v>
      </c>
      <c r="L259" s="36" t="s">
        <v>836</v>
      </c>
      <c r="M259" s="39">
        <v>46062</v>
      </c>
      <c r="N259" s="38" t="s">
        <v>842</v>
      </c>
      <c r="O259" s="38" t="s">
        <v>390</v>
      </c>
      <c r="P259" s="38" t="s">
        <v>1555</v>
      </c>
      <c r="Q259" s="38" t="s">
        <v>1561</v>
      </c>
      <c r="R259" s="38"/>
      <c r="S259" s="38"/>
    </row>
    <row r="260" spans="1:19" ht="39.6" hidden="1" customHeight="1" x14ac:dyDescent="0.2">
      <c r="A260" s="47"/>
      <c r="B260" s="39">
        <v>46161</v>
      </c>
      <c r="C260" s="53" t="s">
        <v>1713</v>
      </c>
      <c r="D260" s="53">
        <v>80201945</v>
      </c>
      <c r="E260" s="53" t="s">
        <v>1714</v>
      </c>
      <c r="F260" s="56" t="s">
        <v>1734</v>
      </c>
      <c r="G260" s="53">
        <v>3204963199</v>
      </c>
      <c r="H260" s="53">
        <v>4</v>
      </c>
      <c r="I260" s="38"/>
      <c r="J260" s="38"/>
      <c r="K260" s="57" t="s">
        <v>1760</v>
      </c>
      <c r="L260" s="38"/>
      <c r="M260" s="39">
        <v>46163</v>
      </c>
      <c r="N260" s="38" t="s">
        <v>1705</v>
      </c>
      <c r="O260" s="38"/>
      <c r="P260" s="38"/>
      <c r="Q260" s="38"/>
      <c r="R260" s="38"/>
      <c r="S260" s="38"/>
    </row>
    <row r="261" spans="1:19" ht="39.6" customHeight="1" x14ac:dyDescent="0.2">
      <c r="A261" s="47">
        <v>80224506</v>
      </c>
      <c r="B261" s="48">
        <v>46050</v>
      </c>
      <c r="C261" s="36" t="s">
        <v>757</v>
      </c>
      <c r="D261" s="47">
        <v>80224506</v>
      </c>
      <c r="E261" s="36" t="s">
        <v>101</v>
      </c>
      <c r="F261" s="37" t="s">
        <v>758</v>
      </c>
      <c r="G261" s="36">
        <v>3143852275</v>
      </c>
      <c r="H261" s="52">
        <v>5</v>
      </c>
      <c r="I261" s="38" t="s">
        <v>631</v>
      </c>
      <c r="J261" s="38" t="s">
        <v>631</v>
      </c>
      <c r="K261" s="52" t="s">
        <v>834</v>
      </c>
      <c r="L261" s="52"/>
      <c r="M261" s="39">
        <v>46062</v>
      </c>
      <c r="N261" s="38" t="s">
        <v>842</v>
      </c>
      <c r="O261" s="38" t="s">
        <v>390</v>
      </c>
      <c r="P261" s="38" t="s">
        <v>842</v>
      </c>
      <c r="Q261" s="38" t="s">
        <v>1559</v>
      </c>
      <c r="R261" s="38"/>
      <c r="S261" s="38" t="s">
        <v>834</v>
      </c>
    </row>
    <row r="262" spans="1:19" ht="39.6" hidden="1" customHeight="1" x14ac:dyDescent="0.3">
      <c r="A262" s="47">
        <v>80255527</v>
      </c>
      <c r="B262" s="48">
        <v>46025</v>
      </c>
      <c r="C262" s="36" t="s">
        <v>78</v>
      </c>
      <c r="D262" s="47">
        <v>80255527</v>
      </c>
      <c r="E262" s="36" t="s">
        <v>261</v>
      </c>
      <c r="F262" s="37" t="s">
        <v>79</v>
      </c>
      <c r="G262" s="36">
        <v>3202221822</v>
      </c>
      <c r="H262" s="36">
        <v>4</v>
      </c>
      <c r="I262" s="38" t="s">
        <v>631</v>
      </c>
      <c r="J262" s="38" t="s">
        <v>631</v>
      </c>
      <c r="K262" s="36" t="s">
        <v>248</v>
      </c>
      <c r="L262" s="36"/>
      <c r="M262" s="39">
        <v>46035</v>
      </c>
      <c r="N262" s="38" t="s">
        <v>842</v>
      </c>
      <c r="O262" s="38" t="s">
        <v>380</v>
      </c>
      <c r="P262" s="38" t="s">
        <v>843</v>
      </c>
      <c r="Q262" s="38" t="s">
        <v>1561</v>
      </c>
      <c r="R262" s="38"/>
      <c r="S262" s="38" t="s">
        <v>248</v>
      </c>
    </row>
    <row r="263" spans="1:19" ht="39.6" customHeight="1" x14ac:dyDescent="0.3">
      <c r="A263" s="47">
        <v>80550330</v>
      </c>
      <c r="B263" s="39">
        <v>46084</v>
      </c>
      <c r="C263" s="38" t="s">
        <v>1367</v>
      </c>
      <c r="D263" s="47">
        <v>80550330</v>
      </c>
      <c r="E263" s="38" t="s">
        <v>349</v>
      </c>
      <c r="F263" s="37" t="s">
        <v>1370</v>
      </c>
      <c r="G263" s="38" t="s">
        <v>1372</v>
      </c>
      <c r="H263" s="38">
        <v>4</v>
      </c>
      <c r="I263" s="38" t="s">
        <v>631</v>
      </c>
      <c r="J263" s="38" t="s">
        <v>631</v>
      </c>
      <c r="K263" s="38"/>
      <c r="L263" s="38" t="s">
        <v>1373</v>
      </c>
      <c r="M263" s="39"/>
      <c r="N263" s="38" t="s">
        <v>843</v>
      </c>
      <c r="O263" s="38" t="s">
        <v>390</v>
      </c>
      <c r="P263" s="38" t="s">
        <v>843</v>
      </c>
      <c r="Q263" s="38"/>
      <c r="R263" s="38"/>
      <c r="S263" s="38"/>
    </row>
    <row r="264" spans="1:19" ht="39.6" customHeight="1" x14ac:dyDescent="0.3">
      <c r="A264" s="47">
        <v>80761603</v>
      </c>
      <c r="B264" s="51">
        <v>46032</v>
      </c>
      <c r="C264" s="36" t="s">
        <v>545</v>
      </c>
      <c r="D264" s="47">
        <v>80761603</v>
      </c>
      <c r="E264" s="36" t="s">
        <v>349</v>
      </c>
      <c r="F264" s="37" t="s">
        <v>344</v>
      </c>
      <c r="G264" s="38">
        <v>3045268708</v>
      </c>
      <c r="H264" s="38">
        <v>4</v>
      </c>
      <c r="I264" s="38" t="s">
        <v>631</v>
      </c>
      <c r="J264" s="38" t="s">
        <v>631</v>
      </c>
      <c r="K264" s="38" t="s">
        <v>407</v>
      </c>
      <c r="L264" s="38" t="s">
        <v>271</v>
      </c>
      <c r="M264" s="39">
        <v>46039</v>
      </c>
      <c r="N264" s="38" t="s">
        <v>842</v>
      </c>
      <c r="O264" s="38" t="s">
        <v>390</v>
      </c>
      <c r="P264" s="38" t="s">
        <v>842</v>
      </c>
      <c r="Q264" s="38" t="s">
        <v>1559</v>
      </c>
      <c r="R264" s="38"/>
      <c r="S264" s="38" t="s">
        <v>407</v>
      </c>
    </row>
    <row r="265" spans="1:19" ht="39.6" customHeight="1" x14ac:dyDescent="0.3">
      <c r="A265" s="47">
        <v>80803817</v>
      </c>
      <c r="B265" s="39">
        <v>46045</v>
      </c>
      <c r="C265" s="36" t="s">
        <v>623</v>
      </c>
      <c r="D265" s="47">
        <v>80803817</v>
      </c>
      <c r="E265" s="36" t="s">
        <v>101</v>
      </c>
      <c r="F265" s="37" t="s">
        <v>604</v>
      </c>
      <c r="G265" s="38">
        <v>3112393683</v>
      </c>
      <c r="H265" s="38">
        <v>3</v>
      </c>
      <c r="I265" s="38" t="s">
        <v>647</v>
      </c>
      <c r="J265" s="38" t="s">
        <v>670</v>
      </c>
      <c r="K265" s="38" t="s">
        <v>589</v>
      </c>
      <c r="L265" s="38"/>
      <c r="M265" s="39">
        <v>46049</v>
      </c>
      <c r="N265" s="38" t="s">
        <v>842</v>
      </c>
      <c r="O265" s="38" t="s">
        <v>390</v>
      </c>
      <c r="P265" s="38" t="s">
        <v>842</v>
      </c>
      <c r="Q265" s="38" t="s">
        <v>1559</v>
      </c>
      <c r="R265" s="38"/>
      <c r="S265" s="38" t="s">
        <v>589</v>
      </c>
    </row>
    <row r="266" spans="1:19" ht="52.8" customHeight="1" x14ac:dyDescent="0.3">
      <c r="A266" s="47">
        <v>80849934</v>
      </c>
      <c r="B266" s="39">
        <v>46073</v>
      </c>
      <c r="C266" s="36" t="s">
        <v>1235</v>
      </c>
      <c r="D266" s="47">
        <v>80849934</v>
      </c>
      <c r="E266" s="38" t="s">
        <v>101</v>
      </c>
      <c r="F266" s="37" t="s">
        <v>1236</v>
      </c>
      <c r="G266" s="38">
        <v>3008138523</v>
      </c>
      <c r="H266" s="38">
        <v>4</v>
      </c>
      <c r="I266" s="38" t="s">
        <v>704</v>
      </c>
      <c r="J266" s="38" t="s">
        <v>1295</v>
      </c>
      <c r="K266" s="38" t="s">
        <v>1228</v>
      </c>
      <c r="L266" s="38"/>
      <c r="M266" s="39">
        <v>46076</v>
      </c>
      <c r="N266" s="38" t="s">
        <v>842</v>
      </c>
      <c r="O266" s="38" t="s">
        <v>390</v>
      </c>
      <c r="P266" s="38" t="s">
        <v>842</v>
      </c>
      <c r="Q266" s="38" t="s">
        <v>1559</v>
      </c>
      <c r="R266" s="38" t="s">
        <v>1590</v>
      </c>
      <c r="S266" s="38"/>
    </row>
    <row r="267" spans="1:19" ht="39.6" customHeight="1" x14ac:dyDescent="0.3">
      <c r="A267" s="47">
        <v>80864874</v>
      </c>
      <c r="B267" s="48">
        <v>46017</v>
      </c>
      <c r="C267" s="36" t="s">
        <v>181</v>
      </c>
      <c r="D267" s="47">
        <v>80864874</v>
      </c>
      <c r="E267" s="36" t="s">
        <v>101</v>
      </c>
      <c r="F267" s="37" t="s">
        <v>182</v>
      </c>
      <c r="G267" s="36">
        <v>3112044762</v>
      </c>
      <c r="H267" s="36">
        <v>4</v>
      </c>
      <c r="I267" s="38" t="s">
        <v>631</v>
      </c>
      <c r="J267" s="38" t="s">
        <v>631</v>
      </c>
      <c r="K267" s="36" t="s">
        <v>242</v>
      </c>
      <c r="L267" s="36"/>
      <c r="M267" s="39">
        <v>46035</v>
      </c>
      <c r="N267" s="38" t="s">
        <v>842</v>
      </c>
      <c r="O267" s="38" t="s">
        <v>390</v>
      </c>
      <c r="P267" s="38" t="s">
        <v>842</v>
      </c>
      <c r="Q267" s="38" t="s">
        <v>1559</v>
      </c>
      <c r="R267" s="38"/>
      <c r="S267" s="38" t="s">
        <v>242</v>
      </c>
    </row>
    <row r="268" spans="1:19" ht="52.8" customHeight="1" x14ac:dyDescent="0.3">
      <c r="A268" s="47">
        <v>83229412</v>
      </c>
      <c r="B268" s="39">
        <v>46073</v>
      </c>
      <c r="C268" s="36" t="s">
        <v>1245</v>
      </c>
      <c r="D268" s="47">
        <v>83229412</v>
      </c>
      <c r="E268" s="38" t="s">
        <v>101</v>
      </c>
      <c r="F268" s="37" t="s">
        <v>1246</v>
      </c>
      <c r="G268" s="38">
        <v>3022168687</v>
      </c>
      <c r="H268" s="38">
        <v>4</v>
      </c>
      <c r="I268" s="38" t="s">
        <v>661</v>
      </c>
      <c r="J268" s="38" t="s">
        <v>1296</v>
      </c>
      <c r="K268" s="38" t="s">
        <v>1228</v>
      </c>
      <c r="L268" s="38"/>
      <c r="M268" s="39">
        <v>46076</v>
      </c>
      <c r="N268" s="38" t="s">
        <v>842</v>
      </c>
      <c r="O268" s="38" t="s">
        <v>390</v>
      </c>
      <c r="P268" s="38" t="s">
        <v>1555</v>
      </c>
      <c r="Q268" s="38" t="s">
        <v>1561</v>
      </c>
      <c r="R268" s="38"/>
      <c r="S268" s="38"/>
    </row>
    <row r="269" spans="1:19" ht="39.6" customHeight="1" x14ac:dyDescent="0.2">
      <c r="A269" s="47">
        <v>84085086</v>
      </c>
      <c r="B269" s="48">
        <v>46050</v>
      </c>
      <c r="C269" s="36" t="s">
        <v>759</v>
      </c>
      <c r="D269" s="47">
        <v>84085086</v>
      </c>
      <c r="E269" s="36" t="s">
        <v>101</v>
      </c>
      <c r="F269" s="37" t="s">
        <v>760</v>
      </c>
      <c r="G269" s="36">
        <v>3046780887</v>
      </c>
      <c r="H269" s="52">
        <v>2</v>
      </c>
      <c r="I269" s="38" t="s">
        <v>665</v>
      </c>
      <c r="J269" s="38" t="s">
        <v>666</v>
      </c>
      <c r="K269" s="52" t="s">
        <v>834</v>
      </c>
      <c r="L269" s="52"/>
      <c r="M269" s="39">
        <v>46062</v>
      </c>
      <c r="N269" s="38" t="s">
        <v>842</v>
      </c>
      <c r="O269" s="38" t="s">
        <v>390</v>
      </c>
      <c r="P269" s="38" t="s">
        <v>842</v>
      </c>
      <c r="Q269" s="38" t="s">
        <v>1559</v>
      </c>
      <c r="R269" s="38"/>
      <c r="S269" s="38" t="s">
        <v>834</v>
      </c>
    </row>
    <row r="270" spans="1:19" ht="39.6" customHeight="1" x14ac:dyDescent="0.3">
      <c r="A270" s="47">
        <v>85440768</v>
      </c>
      <c r="B270" s="39">
        <v>46038</v>
      </c>
      <c r="C270" s="36" t="s">
        <v>553</v>
      </c>
      <c r="D270" s="47">
        <v>85440768</v>
      </c>
      <c r="E270" s="36" t="s">
        <v>101</v>
      </c>
      <c r="F270" s="37" t="s">
        <v>481</v>
      </c>
      <c r="G270" s="38">
        <v>3114256384</v>
      </c>
      <c r="H270" s="38">
        <v>1</v>
      </c>
      <c r="I270" s="38" t="s">
        <v>638</v>
      </c>
      <c r="J270" s="38" t="s">
        <v>639</v>
      </c>
      <c r="K270" s="38" t="s">
        <v>469</v>
      </c>
      <c r="L270" s="38"/>
      <c r="M270" s="39">
        <v>46049</v>
      </c>
      <c r="N270" s="38" t="s">
        <v>842</v>
      </c>
      <c r="O270" s="38" t="s">
        <v>390</v>
      </c>
      <c r="P270" s="38" t="s">
        <v>842</v>
      </c>
      <c r="Q270" s="38" t="s">
        <v>1559</v>
      </c>
      <c r="R270" s="38"/>
      <c r="S270" s="38" t="s">
        <v>469</v>
      </c>
    </row>
    <row r="271" spans="1:19" ht="39.6" customHeight="1" x14ac:dyDescent="0.3">
      <c r="A271" s="47">
        <v>85463617</v>
      </c>
      <c r="B271" s="39">
        <v>46125</v>
      </c>
      <c r="C271" s="36" t="s">
        <v>1607</v>
      </c>
      <c r="D271" s="47">
        <v>85463617</v>
      </c>
      <c r="E271" s="38" t="s">
        <v>101</v>
      </c>
      <c r="F271" s="37" t="s">
        <v>1617</v>
      </c>
      <c r="G271" s="38">
        <v>3114083073</v>
      </c>
      <c r="H271" s="38">
        <v>1</v>
      </c>
      <c r="I271" s="38" t="s">
        <v>678</v>
      </c>
      <c r="J271" s="38" t="s">
        <v>983</v>
      </c>
      <c r="K271" s="38" t="s">
        <v>1615</v>
      </c>
      <c r="L271" s="38"/>
      <c r="M271" s="39"/>
      <c r="N271" s="38" t="s">
        <v>842</v>
      </c>
      <c r="O271" s="38" t="s">
        <v>390</v>
      </c>
      <c r="P271" s="38" t="s">
        <v>843</v>
      </c>
      <c r="Q271" s="38"/>
      <c r="R271" s="38"/>
      <c r="S271" s="38"/>
    </row>
    <row r="272" spans="1:19" ht="39.6" customHeight="1" x14ac:dyDescent="0.3">
      <c r="A272" s="47">
        <v>87060780</v>
      </c>
      <c r="B272" s="39">
        <v>46038</v>
      </c>
      <c r="C272" s="36" t="s">
        <v>582</v>
      </c>
      <c r="D272" s="47">
        <v>87060780</v>
      </c>
      <c r="E272" s="36" t="s">
        <v>349</v>
      </c>
      <c r="F272" s="37" t="s">
        <v>504</v>
      </c>
      <c r="G272" s="38" t="s">
        <v>505</v>
      </c>
      <c r="H272" s="38">
        <v>5</v>
      </c>
      <c r="I272" s="38" t="s">
        <v>645</v>
      </c>
      <c r="J272" s="38" t="s">
        <v>664</v>
      </c>
      <c r="K272" s="38" t="s">
        <v>469</v>
      </c>
      <c r="L272" s="38"/>
      <c r="M272" s="39">
        <v>46049</v>
      </c>
      <c r="N272" s="38" t="s">
        <v>842</v>
      </c>
      <c r="O272" s="38" t="s">
        <v>390</v>
      </c>
      <c r="P272" s="38" t="s">
        <v>842</v>
      </c>
      <c r="Q272" s="38" t="s">
        <v>1559</v>
      </c>
      <c r="R272" s="38"/>
      <c r="S272" s="38" t="s">
        <v>469</v>
      </c>
    </row>
    <row r="273" spans="1:19" ht="39.6" customHeight="1" x14ac:dyDescent="0.3">
      <c r="A273" s="47">
        <v>87303394</v>
      </c>
      <c r="B273" s="39">
        <v>46038</v>
      </c>
      <c r="C273" s="36" t="s">
        <v>353</v>
      </c>
      <c r="D273" s="47">
        <v>87303394</v>
      </c>
      <c r="E273" s="36" t="s">
        <v>101</v>
      </c>
      <c r="F273" s="37" t="s">
        <v>374</v>
      </c>
      <c r="G273" s="38">
        <v>3146417427</v>
      </c>
      <c r="H273" s="38">
        <v>5</v>
      </c>
      <c r="I273" s="38" t="s">
        <v>645</v>
      </c>
      <c r="J273" s="38" t="s">
        <v>982</v>
      </c>
      <c r="K273" s="38" t="s">
        <v>363</v>
      </c>
      <c r="L273" s="38"/>
      <c r="M273" s="39">
        <v>46049</v>
      </c>
      <c r="N273" s="38" t="s">
        <v>842</v>
      </c>
      <c r="O273" s="38" t="s">
        <v>390</v>
      </c>
      <c r="P273" s="38" t="s">
        <v>842</v>
      </c>
      <c r="Q273" s="38" t="s">
        <v>1559</v>
      </c>
      <c r="R273" s="38"/>
      <c r="S273" s="38" t="s">
        <v>363</v>
      </c>
    </row>
    <row r="274" spans="1:19" ht="39.6" customHeight="1" x14ac:dyDescent="0.3">
      <c r="A274" s="47">
        <v>87452838</v>
      </c>
      <c r="B274" s="39">
        <v>46045</v>
      </c>
      <c r="C274" s="36" t="s">
        <v>624</v>
      </c>
      <c r="D274" s="47">
        <v>87452838</v>
      </c>
      <c r="E274" s="36" t="s">
        <v>101</v>
      </c>
      <c r="F274" s="37" t="s">
        <v>605</v>
      </c>
      <c r="G274" s="38">
        <v>3138196285</v>
      </c>
      <c r="H274" s="38">
        <v>5</v>
      </c>
      <c r="I274" s="38" t="s">
        <v>645</v>
      </c>
      <c r="J274" s="38" t="s">
        <v>689</v>
      </c>
      <c r="K274" s="38" t="s">
        <v>589</v>
      </c>
      <c r="L274" s="38"/>
      <c r="M274" s="39">
        <v>46049</v>
      </c>
      <c r="N274" s="38" t="s">
        <v>842</v>
      </c>
      <c r="O274" s="38" t="s">
        <v>390</v>
      </c>
      <c r="P274" s="38" t="s">
        <v>842</v>
      </c>
      <c r="Q274" s="38" t="s">
        <v>1559</v>
      </c>
      <c r="R274" s="38"/>
      <c r="S274" s="38" t="s">
        <v>589</v>
      </c>
    </row>
    <row r="275" spans="1:19" ht="52.8" customHeight="1" x14ac:dyDescent="0.3">
      <c r="A275" s="47">
        <v>87947694</v>
      </c>
      <c r="B275" s="48">
        <v>46017</v>
      </c>
      <c r="C275" s="36" t="s">
        <v>220</v>
      </c>
      <c r="D275" s="47">
        <v>87947694</v>
      </c>
      <c r="E275" s="36" t="s">
        <v>101</v>
      </c>
      <c r="F275" s="37" t="s">
        <v>221</v>
      </c>
      <c r="G275" s="36">
        <v>3167209179</v>
      </c>
      <c r="H275" s="36">
        <v>5</v>
      </c>
      <c r="I275" s="38" t="s">
        <v>645</v>
      </c>
      <c r="J275" s="38" t="s">
        <v>690</v>
      </c>
      <c r="K275" s="36" t="s">
        <v>242</v>
      </c>
      <c r="L275" s="36"/>
      <c r="M275" s="39">
        <v>46035</v>
      </c>
      <c r="N275" s="38" t="s">
        <v>842</v>
      </c>
      <c r="O275" s="38" t="s">
        <v>390</v>
      </c>
      <c r="P275" s="38" t="s">
        <v>842</v>
      </c>
      <c r="Q275" s="38" t="s">
        <v>1559</v>
      </c>
      <c r="R275" s="38"/>
      <c r="S275" s="38" t="s">
        <v>242</v>
      </c>
    </row>
    <row r="276" spans="1:19" ht="39.6" customHeight="1" x14ac:dyDescent="0.3">
      <c r="A276" s="47">
        <v>88033714</v>
      </c>
      <c r="B276" s="39">
        <v>46106</v>
      </c>
      <c r="C276" s="36" t="s">
        <v>1499</v>
      </c>
      <c r="D276" s="47">
        <v>88033714</v>
      </c>
      <c r="E276" s="38" t="s">
        <v>101</v>
      </c>
      <c r="F276" s="37" t="s">
        <v>1510</v>
      </c>
      <c r="G276" s="38">
        <v>3134854138</v>
      </c>
      <c r="H276" s="38">
        <v>3</v>
      </c>
      <c r="I276" s="38" t="s">
        <v>676</v>
      </c>
      <c r="J276" s="38" t="s">
        <v>1522</v>
      </c>
      <c r="K276" s="38" t="s">
        <v>1523</v>
      </c>
      <c r="L276" s="38"/>
      <c r="M276" s="39"/>
      <c r="N276" s="38" t="s">
        <v>842</v>
      </c>
      <c r="O276" s="38" t="s">
        <v>390</v>
      </c>
      <c r="P276" s="38" t="s">
        <v>843</v>
      </c>
      <c r="Q276" s="38"/>
      <c r="R276" s="38"/>
      <c r="S276" s="38"/>
    </row>
    <row r="277" spans="1:19" ht="30.6" hidden="1" customHeight="1" x14ac:dyDescent="0.3">
      <c r="A277" s="47">
        <v>88200664</v>
      </c>
      <c r="B277" s="39">
        <v>46133</v>
      </c>
      <c r="C277" s="36" t="s">
        <v>1675</v>
      </c>
      <c r="D277" s="47">
        <v>88200664</v>
      </c>
      <c r="E277" s="36" t="s">
        <v>383</v>
      </c>
      <c r="F277" s="37" t="s">
        <v>1682</v>
      </c>
      <c r="G277" s="38">
        <v>3165346128</v>
      </c>
      <c r="H277" s="38">
        <v>4</v>
      </c>
      <c r="I277" s="38" t="s">
        <v>631</v>
      </c>
      <c r="J277" s="38" t="s">
        <v>631</v>
      </c>
      <c r="K277" s="38" t="s">
        <v>1686</v>
      </c>
      <c r="L277" s="38"/>
      <c r="M277" s="39"/>
      <c r="N277" s="38" t="s">
        <v>842</v>
      </c>
      <c r="O277" s="38" t="s">
        <v>380</v>
      </c>
      <c r="P277" s="38" t="s">
        <v>843</v>
      </c>
      <c r="Q277" s="38"/>
      <c r="R277" s="38"/>
      <c r="S277" s="38"/>
    </row>
    <row r="278" spans="1:19" ht="20.399999999999999" customHeight="1" x14ac:dyDescent="0.3">
      <c r="A278" s="47">
        <v>89004122</v>
      </c>
      <c r="B278" s="39">
        <v>46056</v>
      </c>
      <c r="C278" s="36" t="s">
        <v>875</v>
      </c>
      <c r="D278" s="47">
        <v>89004122</v>
      </c>
      <c r="E278" s="38" t="s">
        <v>101</v>
      </c>
      <c r="F278" s="37" t="s">
        <v>894</v>
      </c>
      <c r="G278" s="38">
        <v>3124719301</v>
      </c>
      <c r="H278" s="38">
        <v>2</v>
      </c>
      <c r="I278" s="38" t="s">
        <v>1063</v>
      </c>
      <c r="J278" s="38" t="s">
        <v>914</v>
      </c>
      <c r="K278" s="38" t="s">
        <v>870</v>
      </c>
      <c r="L278" s="38"/>
      <c r="M278" s="39">
        <v>46062</v>
      </c>
      <c r="N278" s="38" t="s">
        <v>842</v>
      </c>
      <c r="O278" s="38" t="s">
        <v>390</v>
      </c>
      <c r="P278" s="38" t="s">
        <v>843</v>
      </c>
      <c r="Q278" s="38" t="s">
        <v>1561</v>
      </c>
      <c r="R278" s="38" t="s">
        <v>1584</v>
      </c>
      <c r="S278" s="38"/>
    </row>
    <row r="279" spans="1:19" ht="20.399999999999999" customHeight="1" x14ac:dyDescent="0.3">
      <c r="A279" s="47">
        <v>91432760</v>
      </c>
      <c r="B279" s="39">
        <v>46038</v>
      </c>
      <c r="C279" s="36" t="s">
        <v>561</v>
      </c>
      <c r="D279" s="47">
        <v>91432760</v>
      </c>
      <c r="E279" s="36" t="s">
        <v>101</v>
      </c>
      <c r="F279" s="37" t="s">
        <v>482</v>
      </c>
      <c r="G279" s="38">
        <v>3502081669</v>
      </c>
      <c r="H279" s="38">
        <v>3</v>
      </c>
      <c r="I279" s="38" t="s">
        <v>632</v>
      </c>
      <c r="J279" s="38" t="s">
        <v>691</v>
      </c>
      <c r="K279" s="38" t="s">
        <v>479</v>
      </c>
      <c r="L279" s="38"/>
      <c r="M279" s="39">
        <v>46049</v>
      </c>
      <c r="N279" s="38" t="s">
        <v>842</v>
      </c>
      <c r="O279" s="38" t="s">
        <v>390</v>
      </c>
      <c r="P279" s="38" t="s">
        <v>842</v>
      </c>
      <c r="Q279" s="38" t="s">
        <v>1559</v>
      </c>
      <c r="R279" s="38"/>
      <c r="S279" s="38" t="s">
        <v>479</v>
      </c>
    </row>
    <row r="280" spans="1:19" ht="20.399999999999999" customHeight="1" x14ac:dyDescent="0.3">
      <c r="A280" s="47">
        <v>91436305</v>
      </c>
      <c r="B280" s="39">
        <v>46106</v>
      </c>
      <c r="C280" s="36" t="s">
        <v>1494</v>
      </c>
      <c r="D280" s="47">
        <v>91436305</v>
      </c>
      <c r="E280" s="38" t="s">
        <v>101</v>
      </c>
      <c r="F280" s="37" t="s">
        <v>1506</v>
      </c>
      <c r="G280" s="38" t="s">
        <v>1514</v>
      </c>
      <c r="H280" s="38">
        <v>1</v>
      </c>
      <c r="I280" s="38" t="s">
        <v>636</v>
      </c>
      <c r="J280" s="38" t="s">
        <v>1519</v>
      </c>
      <c r="K280" s="38" t="s">
        <v>1523</v>
      </c>
      <c r="L280" s="38"/>
      <c r="M280" s="39"/>
      <c r="N280" s="38" t="s">
        <v>842</v>
      </c>
      <c r="O280" s="38" t="s">
        <v>390</v>
      </c>
      <c r="P280" s="38" t="s">
        <v>843</v>
      </c>
      <c r="Q280" s="38"/>
      <c r="R280" s="38"/>
      <c r="S280" s="38"/>
    </row>
    <row r="281" spans="1:19" ht="30.6" hidden="1" customHeight="1" x14ac:dyDescent="0.3">
      <c r="A281" s="47">
        <v>91521693</v>
      </c>
      <c r="B281" s="39">
        <v>46084</v>
      </c>
      <c r="C281" s="38" t="s">
        <v>1366</v>
      </c>
      <c r="D281" s="47">
        <v>91521693</v>
      </c>
      <c r="E281" s="38" t="s">
        <v>381</v>
      </c>
      <c r="F281" s="37" t="s">
        <v>1369</v>
      </c>
      <c r="G281" s="38">
        <v>3204549403</v>
      </c>
      <c r="H281" s="38">
        <v>3</v>
      </c>
      <c r="I281" s="38" t="s">
        <v>643</v>
      </c>
      <c r="J281" s="38" t="e">
        <v>#REF!</v>
      </c>
      <c r="K281" s="38" t="s">
        <v>1488</v>
      </c>
      <c r="L281" s="38" t="s">
        <v>1373</v>
      </c>
      <c r="M281" s="39"/>
      <c r="N281" s="38" t="s">
        <v>842</v>
      </c>
      <c r="O281" s="38" t="s">
        <v>380</v>
      </c>
      <c r="P281" s="38" t="s">
        <v>843</v>
      </c>
      <c r="Q281" s="38"/>
      <c r="R281" s="38"/>
      <c r="S281" s="38"/>
    </row>
    <row r="282" spans="1:19" ht="39.6" hidden="1" customHeight="1" x14ac:dyDescent="0.3">
      <c r="A282" s="47">
        <v>91526637</v>
      </c>
      <c r="B282" s="50">
        <v>46029</v>
      </c>
      <c r="C282" s="36" t="s">
        <v>76</v>
      </c>
      <c r="D282" s="47">
        <v>91526637</v>
      </c>
      <c r="E282" s="36" t="s">
        <v>366</v>
      </c>
      <c r="F282" s="37" t="s">
        <v>77</v>
      </c>
      <c r="G282" s="36">
        <v>3002898512</v>
      </c>
      <c r="H282" s="36">
        <v>4</v>
      </c>
      <c r="I282" s="38" t="s">
        <v>631</v>
      </c>
      <c r="J282" s="38" t="s">
        <v>631</v>
      </c>
      <c r="K282" s="36" t="s">
        <v>258</v>
      </c>
      <c r="L282" s="36"/>
      <c r="M282" s="39">
        <v>46035</v>
      </c>
      <c r="N282" s="38" t="s">
        <v>842</v>
      </c>
      <c r="O282" s="38" t="s">
        <v>380</v>
      </c>
      <c r="P282" s="38" t="s">
        <v>842</v>
      </c>
      <c r="Q282" s="38" t="s">
        <v>1559</v>
      </c>
      <c r="R282" s="38"/>
      <c r="S282" s="38" t="s">
        <v>258</v>
      </c>
    </row>
    <row r="283" spans="1:19" ht="30.6" customHeight="1" x14ac:dyDescent="0.3">
      <c r="A283" s="47">
        <v>91530042</v>
      </c>
      <c r="B283" s="39">
        <v>46133</v>
      </c>
      <c r="C283" s="36" t="s">
        <v>1650</v>
      </c>
      <c r="D283" s="47">
        <v>91530042</v>
      </c>
      <c r="E283" s="38" t="s">
        <v>101</v>
      </c>
      <c r="F283" s="37" t="s">
        <v>1661</v>
      </c>
      <c r="G283" s="38">
        <v>3163391663</v>
      </c>
      <c r="H283" s="38">
        <v>1</v>
      </c>
      <c r="I283" s="38" t="s">
        <v>686</v>
      </c>
      <c r="J283" s="38" t="s">
        <v>1668</v>
      </c>
      <c r="K283" s="38" t="s">
        <v>1656</v>
      </c>
      <c r="L283" s="38"/>
      <c r="M283" s="39"/>
      <c r="N283" s="38" t="s">
        <v>842</v>
      </c>
      <c r="O283" s="38" t="s">
        <v>390</v>
      </c>
      <c r="P283" s="38" t="s">
        <v>843</v>
      </c>
      <c r="Q283" s="38"/>
      <c r="R283" s="38"/>
      <c r="S283" s="38"/>
    </row>
    <row r="284" spans="1:19" ht="20.399999999999999" customHeight="1" x14ac:dyDescent="0.2">
      <c r="A284" s="47">
        <v>92524049</v>
      </c>
      <c r="B284" s="48" t="s">
        <v>1491</v>
      </c>
      <c r="C284" s="36" t="s">
        <v>761</v>
      </c>
      <c r="D284" s="47">
        <v>92524049</v>
      </c>
      <c r="E284" s="36" t="s">
        <v>101</v>
      </c>
      <c r="F284" s="37" t="s">
        <v>762</v>
      </c>
      <c r="G284" s="36">
        <v>3244489414</v>
      </c>
      <c r="H284" s="52">
        <v>1</v>
      </c>
      <c r="I284" s="38" t="s">
        <v>693</v>
      </c>
      <c r="J284" s="38" t="e">
        <v>#REF!</v>
      </c>
      <c r="K284" s="52" t="s">
        <v>1418</v>
      </c>
      <c r="L284" s="52" t="s">
        <v>836</v>
      </c>
      <c r="M284" s="39">
        <v>46062</v>
      </c>
      <c r="N284" s="38" t="s">
        <v>842</v>
      </c>
      <c r="O284" s="38" t="s">
        <v>390</v>
      </c>
      <c r="P284" s="38" t="s">
        <v>843</v>
      </c>
      <c r="Q284" s="38" t="s">
        <v>1558</v>
      </c>
      <c r="R284" s="38"/>
      <c r="S284" s="38"/>
    </row>
    <row r="285" spans="1:19" ht="20.399999999999999" customHeight="1" x14ac:dyDescent="0.3">
      <c r="A285" s="47">
        <v>92529616</v>
      </c>
      <c r="B285" s="39">
        <v>46097</v>
      </c>
      <c r="C285" s="38" t="s">
        <v>1433</v>
      </c>
      <c r="D285" s="47">
        <v>92529616</v>
      </c>
      <c r="E285" s="38" t="s">
        <v>101</v>
      </c>
      <c r="F285" s="37" t="s">
        <v>1467</v>
      </c>
      <c r="G285" s="38">
        <v>3147947891</v>
      </c>
      <c r="H285" s="38">
        <v>1</v>
      </c>
      <c r="I285" s="38" t="s">
        <v>686</v>
      </c>
      <c r="J285" s="38" t="e">
        <v>#REF!</v>
      </c>
      <c r="K285" s="38" t="s">
        <v>1418</v>
      </c>
      <c r="L285" s="38"/>
      <c r="M285" s="39"/>
      <c r="N285" s="38" t="s">
        <v>842</v>
      </c>
      <c r="O285" s="38" t="s">
        <v>390</v>
      </c>
      <c r="P285" s="38" t="s">
        <v>842</v>
      </c>
      <c r="Q285" s="38"/>
      <c r="R285" s="38"/>
      <c r="S285" s="38"/>
    </row>
    <row r="286" spans="1:19" ht="20.399999999999999" customHeight="1" x14ac:dyDescent="0.3">
      <c r="A286" s="47">
        <v>92546476</v>
      </c>
      <c r="B286" s="39">
        <v>46133</v>
      </c>
      <c r="C286" s="36" t="s">
        <v>1646</v>
      </c>
      <c r="D286" s="47">
        <v>92546476</v>
      </c>
      <c r="E286" s="38" t="s">
        <v>101</v>
      </c>
      <c r="F286" s="37" t="s">
        <v>1657</v>
      </c>
      <c r="G286" s="38">
        <v>3015983681</v>
      </c>
      <c r="H286" s="38">
        <v>1</v>
      </c>
      <c r="I286" s="38" t="s">
        <v>693</v>
      </c>
      <c r="J286" s="38" t="s">
        <v>694</v>
      </c>
      <c r="K286" s="38" t="s">
        <v>1656</v>
      </c>
      <c r="L286" s="38"/>
      <c r="M286" s="39"/>
      <c r="N286" s="38" t="s">
        <v>842</v>
      </c>
      <c r="O286" s="38" t="s">
        <v>390</v>
      </c>
      <c r="P286" s="38" t="s">
        <v>843</v>
      </c>
      <c r="Q286" s="38"/>
      <c r="R286" s="38"/>
      <c r="S286" s="38"/>
    </row>
    <row r="287" spans="1:19" ht="20.399999999999999" customHeight="1" x14ac:dyDescent="0.3">
      <c r="A287" s="47">
        <v>92555731</v>
      </c>
      <c r="B287" s="39">
        <v>46133</v>
      </c>
      <c r="C287" s="36" t="s">
        <v>1653</v>
      </c>
      <c r="D287" s="47">
        <v>92555731</v>
      </c>
      <c r="E287" s="38" t="s">
        <v>101</v>
      </c>
      <c r="F287" s="37" t="s">
        <v>1664</v>
      </c>
      <c r="G287" s="38">
        <v>3216865678</v>
      </c>
      <c r="H287" s="38">
        <v>1</v>
      </c>
      <c r="I287" s="38" t="s">
        <v>686</v>
      </c>
      <c r="J287" s="38" t="s">
        <v>1668</v>
      </c>
      <c r="K287" s="38" t="s">
        <v>1656</v>
      </c>
      <c r="L287" s="38"/>
      <c r="M287" s="39"/>
      <c r="N287" s="38" t="s">
        <v>842</v>
      </c>
      <c r="O287" s="38" t="s">
        <v>390</v>
      </c>
      <c r="P287" s="38" t="s">
        <v>843</v>
      </c>
      <c r="Q287" s="38"/>
      <c r="R287" s="38"/>
      <c r="S287" s="38"/>
    </row>
    <row r="288" spans="1:19" ht="30.6" customHeight="1" x14ac:dyDescent="0.3">
      <c r="A288" s="55">
        <v>93061929</v>
      </c>
      <c r="B288" s="51">
        <v>46149</v>
      </c>
      <c r="C288" s="45" t="s">
        <v>1699</v>
      </c>
      <c r="D288" s="55">
        <v>93061929</v>
      </c>
      <c r="E288" s="45" t="s">
        <v>1700</v>
      </c>
      <c r="F288" s="37" t="s">
        <v>1704</v>
      </c>
      <c r="G288" s="38"/>
      <c r="H288" s="45">
        <v>2</v>
      </c>
      <c r="I288" s="38"/>
      <c r="J288" s="38"/>
      <c r="K288" s="38" t="s">
        <v>1694</v>
      </c>
      <c r="L288" s="38"/>
      <c r="M288" s="39">
        <v>46153</v>
      </c>
      <c r="N288" s="38" t="s">
        <v>1705</v>
      </c>
      <c r="O288" s="38"/>
      <c r="P288" s="38" t="s">
        <v>843</v>
      </c>
      <c r="Q288" s="38"/>
      <c r="R288" s="38"/>
      <c r="S288" s="38"/>
    </row>
    <row r="289" spans="1:19" ht="30.6" hidden="1" customHeight="1" x14ac:dyDescent="0.3">
      <c r="A289" s="47">
        <v>93138199</v>
      </c>
      <c r="B289" s="39">
        <v>46038</v>
      </c>
      <c r="C289" s="36" t="s">
        <v>354</v>
      </c>
      <c r="D289" s="47">
        <v>93138199</v>
      </c>
      <c r="E289" s="36" t="s">
        <v>389</v>
      </c>
      <c r="F289" s="37" t="s">
        <v>367</v>
      </c>
      <c r="G289" s="38">
        <v>3022871774</v>
      </c>
      <c r="H289" s="38">
        <v>1</v>
      </c>
      <c r="I289" s="38" t="s">
        <v>631</v>
      </c>
      <c r="J289" s="38" t="s">
        <v>631</v>
      </c>
      <c r="K289" s="38" t="s">
        <v>363</v>
      </c>
      <c r="L289" s="38"/>
      <c r="M289" s="39">
        <v>46049</v>
      </c>
      <c r="N289" s="38" t="s">
        <v>842</v>
      </c>
      <c r="O289" s="38" t="s">
        <v>390</v>
      </c>
      <c r="P289" s="38" t="s">
        <v>842</v>
      </c>
      <c r="Q289" s="38" t="s">
        <v>1559</v>
      </c>
      <c r="R289" s="38"/>
      <c r="S289" s="38" t="s">
        <v>363</v>
      </c>
    </row>
    <row r="290" spans="1:19" ht="20.399999999999999" customHeight="1" x14ac:dyDescent="0.3">
      <c r="A290" s="47">
        <v>93235752</v>
      </c>
      <c r="B290" s="39">
        <v>46038</v>
      </c>
      <c r="C290" s="36" t="s">
        <v>562</v>
      </c>
      <c r="D290" s="47">
        <v>93235752</v>
      </c>
      <c r="E290" s="36" t="s">
        <v>101</v>
      </c>
      <c r="F290" s="37" t="s">
        <v>483</v>
      </c>
      <c r="G290" s="38">
        <v>3174377167</v>
      </c>
      <c r="H290" s="38">
        <v>2</v>
      </c>
      <c r="I290" s="38" t="s">
        <v>665</v>
      </c>
      <c r="J290" s="38" t="s">
        <v>666</v>
      </c>
      <c r="K290" s="42"/>
      <c r="L290" s="38" t="s">
        <v>469</v>
      </c>
      <c r="M290" s="39">
        <v>46049</v>
      </c>
      <c r="N290" s="38" t="s">
        <v>843</v>
      </c>
      <c r="O290" s="38" t="s">
        <v>390</v>
      </c>
      <c r="P290" s="38" t="s">
        <v>843</v>
      </c>
      <c r="Q290" s="38" t="s">
        <v>1562</v>
      </c>
      <c r="R290" s="38"/>
      <c r="S290" s="38"/>
    </row>
    <row r="291" spans="1:19" ht="57.6" customHeight="1" x14ac:dyDescent="0.3">
      <c r="A291" s="47">
        <v>93367761</v>
      </c>
      <c r="B291" s="48">
        <v>46017</v>
      </c>
      <c r="C291" s="36" t="s">
        <v>201</v>
      </c>
      <c r="D291" s="47">
        <v>93367761</v>
      </c>
      <c r="E291" s="36" t="s">
        <v>101</v>
      </c>
      <c r="F291" s="37" t="s">
        <v>202</v>
      </c>
      <c r="G291" s="36" t="s">
        <v>203</v>
      </c>
      <c r="H291" s="36">
        <v>2</v>
      </c>
      <c r="I291" s="38" t="s">
        <v>665</v>
      </c>
      <c r="J291" s="38" t="s">
        <v>666</v>
      </c>
      <c r="K291" s="36" t="s">
        <v>242</v>
      </c>
      <c r="L291" s="36"/>
      <c r="M291" s="39">
        <v>46035</v>
      </c>
      <c r="N291" s="38" t="s">
        <v>842</v>
      </c>
      <c r="O291" s="38" t="s">
        <v>390</v>
      </c>
      <c r="P291" s="38" t="s">
        <v>842</v>
      </c>
      <c r="Q291" s="38" t="s">
        <v>1559</v>
      </c>
      <c r="R291" s="38"/>
      <c r="S291" s="38" t="s">
        <v>242</v>
      </c>
    </row>
    <row r="292" spans="1:19" ht="30.6" hidden="1" customHeight="1" x14ac:dyDescent="0.3">
      <c r="A292" s="47">
        <v>93372958</v>
      </c>
      <c r="B292" s="49">
        <v>46020</v>
      </c>
      <c r="C292" s="36" t="s">
        <v>118</v>
      </c>
      <c r="D292" s="47">
        <v>93372958</v>
      </c>
      <c r="E292" s="36" t="s">
        <v>382</v>
      </c>
      <c r="F292" s="37" t="s">
        <v>119</v>
      </c>
      <c r="G292" s="36">
        <v>3112633495</v>
      </c>
      <c r="H292" s="36">
        <v>2</v>
      </c>
      <c r="I292" s="38" t="s">
        <v>665</v>
      </c>
      <c r="J292" s="38" t="s">
        <v>666</v>
      </c>
      <c r="K292" s="36" t="s">
        <v>245</v>
      </c>
      <c r="L292" s="36"/>
      <c r="M292" s="39">
        <v>46035</v>
      </c>
      <c r="N292" s="38" t="s">
        <v>842</v>
      </c>
      <c r="O292" s="38" t="s">
        <v>380</v>
      </c>
      <c r="P292" s="38" t="s">
        <v>842</v>
      </c>
      <c r="Q292" s="38" t="s">
        <v>1559</v>
      </c>
      <c r="R292" s="38"/>
      <c r="S292" s="38" t="s">
        <v>245</v>
      </c>
    </row>
    <row r="293" spans="1:19" ht="20.399999999999999" customHeight="1" x14ac:dyDescent="0.2">
      <c r="A293" s="47">
        <v>93391042</v>
      </c>
      <c r="B293" s="48">
        <v>46045</v>
      </c>
      <c r="C293" s="36" t="s">
        <v>763</v>
      </c>
      <c r="D293" s="47">
        <v>93391042</v>
      </c>
      <c r="E293" s="36" t="s">
        <v>101</v>
      </c>
      <c r="F293" s="37" t="s">
        <v>764</v>
      </c>
      <c r="G293" s="36">
        <v>3186347608</v>
      </c>
      <c r="H293" s="52">
        <v>2</v>
      </c>
      <c r="I293" s="38" t="s">
        <v>665</v>
      </c>
      <c r="J293" s="38" t="s">
        <v>666</v>
      </c>
      <c r="K293" s="52" t="s">
        <v>835</v>
      </c>
      <c r="L293" s="52"/>
      <c r="M293" s="39">
        <v>46062</v>
      </c>
      <c r="N293" s="38" t="s">
        <v>842</v>
      </c>
      <c r="O293" s="38" t="s">
        <v>390</v>
      </c>
      <c r="P293" s="38" t="s">
        <v>842</v>
      </c>
      <c r="Q293" s="38" t="s">
        <v>1559</v>
      </c>
      <c r="R293" s="38"/>
      <c r="S293" s="38" t="s">
        <v>835</v>
      </c>
    </row>
    <row r="294" spans="1:19" ht="39.6" customHeight="1" x14ac:dyDescent="0.3">
      <c r="A294" s="47">
        <v>94415090</v>
      </c>
      <c r="B294" s="39">
        <v>46097</v>
      </c>
      <c r="C294" s="38" t="s">
        <v>1442</v>
      </c>
      <c r="D294" s="47">
        <v>94415090</v>
      </c>
      <c r="E294" s="36" t="s">
        <v>101</v>
      </c>
      <c r="F294" s="37" t="s">
        <v>1478</v>
      </c>
      <c r="G294" s="38" t="s">
        <v>1479</v>
      </c>
      <c r="H294" s="38">
        <v>5</v>
      </c>
      <c r="I294" s="38" t="s">
        <v>652</v>
      </c>
      <c r="J294" s="38" t="e">
        <v>#REF!</v>
      </c>
      <c r="K294" s="38" t="s">
        <v>1418</v>
      </c>
      <c r="L294" s="38"/>
      <c r="M294" s="39"/>
      <c r="N294" s="38" t="s">
        <v>842</v>
      </c>
      <c r="O294" s="38" t="s">
        <v>390</v>
      </c>
      <c r="P294" s="38" t="s">
        <v>843</v>
      </c>
      <c r="Q294" s="38"/>
      <c r="R294" s="38"/>
      <c r="S294" s="38"/>
    </row>
    <row r="295" spans="1:19" ht="39.6" customHeight="1" x14ac:dyDescent="0.3">
      <c r="A295" s="47">
        <v>94443277</v>
      </c>
      <c r="B295" s="39">
        <v>46133</v>
      </c>
      <c r="C295" s="36" t="s">
        <v>1647</v>
      </c>
      <c r="D295" s="47">
        <v>94443277</v>
      </c>
      <c r="E295" s="38" t="s">
        <v>101</v>
      </c>
      <c r="F295" s="37" t="s">
        <v>1658</v>
      </c>
      <c r="G295" s="38">
        <v>3161413874</v>
      </c>
      <c r="H295" s="38">
        <v>5</v>
      </c>
      <c r="I295" s="38" t="s">
        <v>652</v>
      </c>
      <c r="J295" s="38" t="s">
        <v>1117</v>
      </c>
      <c r="K295" s="38" t="s">
        <v>1656</v>
      </c>
      <c r="L295" s="38"/>
      <c r="M295" s="39"/>
      <c r="N295" s="38" t="s">
        <v>842</v>
      </c>
      <c r="O295" s="38" t="s">
        <v>390</v>
      </c>
      <c r="P295" s="38" t="s">
        <v>843</v>
      </c>
      <c r="Q295" s="38"/>
      <c r="R295" s="38"/>
      <c r="S295" s="38"/>
    </row>
    <row r="296" spans="1:19" ht="52.8" customHeight="1" x14ac:dyDescent="0.3">
      <c r="A296" s="47">
        <v>97473015</v>
      </c>
      <c r="B296" s="39">
        <v>46041</v>
      </c>
      <c r="C296" s="36" t="s">
        <v>569</v>
      </c>
      <c r="D296" s="47">
        <v>97473015</v>
      </c>
      <c r="E296" s="36" t="s">
        <v>101</v>
      </c>
      <c r="F296" s="37" t="s">
        <v>412</v>
      </c>
      <c r="G296" s="38" t="s">
        <v>413</v>
      </c>
      <c r="H296" s="38">
        <v>5</v>
      </c>
      <c r="I296" s="38" t="s">
        <v>645</v>
      </c>
      <c r="J296" s="38" t="s">
        <v>664</v>
      </c>
      <c r="K296" s="38" t="s">
        <v>407</v>
      </c>
      <c r="L296" s="38"/>
      <c r="M296" s="39">
        <v>46049</v>
      </c>
      <c r="N296" s="38" t="s">
        <v>842</v>
      </c>
      <c r="O296" s="38" t="s">
        <v>390</v>
      </c>
      <c r="P296" s="38" t="s">
        <v>842</v>
      </c>
      <c r="Q296" s="38" t="s">
        <v>1559</v>
      </c>
      <c r="R296" s="38"/>
      <c r="S296" s="38" t="s">
        <v>407</v>
      </c>
    </row>
    <row r="297" spans="1:19" ht="39.6" customHeight="1" x14ac:dyDescent="0.3">
      <c r="A297" s="47">
        <v>97611163</v>
      </c>
      <c r="B297" s="39">
        <v>46073</v>
      </c>
      <c r="C297" s="36" t="s">
        <v>1332</v>
      </c>
      <c r="D297" s="47">
        <v>97611163</v>
      </c>
      <c r="E297" s="38" t="s">
        <v>101</v>
      </c>
      <c r="F297" s="37" t="s">
        <v>1342</v>
      </c>
      <c r="G297" s="38">
        <v>3175474361</v>
      </c>
      <c r="H297" s="38">
        <v>4</v>
      </c>
      <c r="I297" s="38" t="s">
        <v>704</v>
      </c>
      <c r="J297" s="38" t="s">
        <v>1347</v>
      </c>
      <c r="K297" s="38" t="s">
        <v>1335</v>
      </c>
      <c r="L297" s="38"/>
      <c r="M297" s="39"/>
      <c r="N297" s="38" t="s">
        <v>842</v>
      </c>
      <c r="O297" s="38" t="s">
        <v>390</v>
      </c>
      <c r="P297" s="38" t="s">
        <v>842</v>
      </c>
      <c r="Q297" s="38"/>
      <c r="R297" s="38"/>
      <c r="S297" s="38"/>
    </row>
    <row r="298" spans="1:19" ht="39.6" customHeight="1" x14ac:dyDescent="0.3">
      <c r="A298" s="47">
        <v>98344529</v>
      </c>
      <c r="B298" s="39">
        <v>46073</v>
      </c>
      <c r="C298" s="36" t="s">
        <v>1264</v>
      </c>
      <c r="D298" s="47">
        <v>98344529</v>
      </c>
      <c r="E298" s="38" t="s">
        <v>101</v>
      </c>
      <c r="F298" s="37" t="s">
        <v>1265</v>
      </c>
      <c r="G298" s="38">
        <v>3167593616</v>
      </c>
      <c r="H298" s="38">
        <v>5</v>
      </c>
      <c r="I298" s="38" t="s">
        <v>645</v>
      </c>
      <c r="J298" s="38" t="s">
        <v>1297</v>
      </c>
      <c r="K298" s="38" t="s">
        <v>1228</v>
      </c>
      <c r="L298" s="38"/>
      <c r="M298" s="39">
        <v>46076</v>
      </c>
      <c r="N298" s="38" t="s">
        <v>842</v>
      </c>
      <c r="O298" s="38" t="s">
        <v>390</v>
      </c>
      <c r="P298" s="38" t="s">
        <v>1555</v>
      </c>
      <c r="Q298" s="38" t="s">
        <v>1561</v>
      </c>
      <c r="R298" s="38"/>
      <c r="S298" s="38"/>
    </row>
    <row r="299" spans="1:19" ht="39.6" hidden="1" customHeight="1" x14ac:dyDescent="0.3">
      <c r="A299" s="47">
        <v>98377840</v>
      </c>
      <c r="B299" s="49">
        <v>46020</v>
      </c>
      <c r="C299" s="36" t="s">
        <v>125</v>
      </c>
      <c r="D299" s="47">
        <v>98377840</v>
      </c>
      <c r="E299" s="36" t="s">
        <v>261</v>
      </c>
      <c r="F299" s="37" t="s">
        <v>126</v>
      </c>
      <c r="G299" s="36">
        <v>3052357890</v>
      </c>
      <c r="H299" s="36">
        <v>5</v>
      </c>
      <c r="I299" s="38" t="s">
        <v>645</v>
      </c>
      <c r="J299" s="38" t="s">
        <v>664</v>
      </c>
      <c r="K299" s="36" t="s">
        <v>245</v>
      </c>
      <c r="L299" s="36"/>
      <c r="M299" s="39">
        <v>46035</v>
      </c>
      <c r="N299" s="38" t="s">
        <v>842</v>
      </c>
      <c r="O299" s="38" t="s">
        <v>380</v>
      </c>
      <c r="P299" s="38" t="s">
        <v>842</v>
      </c>
      <c r="Q299" s="38" t="s">
        <v>1559</v>
      </c>
      <c r="R299" s="38"/>
      <c r="S299" s="38" t="s">
        <v>245</v>
      </c>
    </row>
    <row r="300" spans="1:19" ht="66" customHeight="1" x14ac:dyDescent="0.3">
      <c r="A300" s="47">
        <v>98389640</v>
      </c>
      <c r="B300" s="39">
        <v>46038</v>
      </c>
      <c r="C300" s="36" t="s">
        <v>554</v>
      </c>
      <c r="D300" s="47">
        <v>98389640</v>
      </c>
      <c r="E300" s="36" t="s">
        <v>101</v>
      </c>
      <c r="F300" s="37" t="s">
        <v>484</v>
      </c>
      <c r="G300" s="38" t="s">
        <v>485</v>
      </c>
      <c r="H300" s="38">
        <v>5</v>
      </c>
      <c r="I300" s="38" t="s">
        <v>645</v>
      </c>
      <c r="J300" s="38" t="s">
        <v>649</v>
      </c>
      <c r="K300" s="38" t="s">
        <v>469</v>
      </c>
      <c r="L300" s="38"/>
      <c r="M300" s="39">
        <v>46049</v>
      </c>
      <c r="N300" s="38" t="s">
        <v>842</v>
      </c>
      <c r="O300" s="38" t="s">
        <v>390</v>
      </c>
      <c r="P300" s="38" t="s">
        <v>842</v>
      </c>
      <c r="Q300" s="38" t="s">
        <v>1559</v>
      </c>
      <c r="R300" s="38"/>
      <c r="S300" s="38" t="s">
        <v>469</v>
      </c>
    </row>
    <row r="301" spans="1:19" ht="39.6" customHeight="1" x14ac:dyDescent="0.3">
      <c r="A301" s="47">
        <v>98417809</v>
      </c>
      <c r="B301" s="48">
        <v>46017</v>
      </c>
      <c r="C301" s="36" t="s">
        <v>216</v>
      </c>
      <c r="D301" s="47">
        <v>98417809</v>
      </c>
      <c r="E301" s="36" t="s">
        <v>101</v>
      </c>
      <c r="F301" s="37" t="s">
        <v>217</v>
      </c>
      <c r="G301" s="36">
        <v>3136841893</v>
      </c>
      <c r="H301" s="36">
        <v>5</v>
      </c>
      <c r="I301" s="38" t="s">
        <v>645</v>
      </c>
      <c r="J301" s="38" t="s">
        <v>692</v>
      </c>
      <c r="K301" s="36" t="s">
        <v>242</v>
      </c>
      <c r="L301" s="36"/>
      <c r="M301" s="39">
        <v>46035</v>
      </c>
      <c r="N301" s="38" t="s">
        <v>842</v>
      </c>
      <c r="O301" s="38" t="s">
        <v>390</v>
      </c>
      <c r="P301" s="38" t="s">
        <v>842</v>
      </c>
      <c r="Q301" s="38" t="s">
        <v>1559</v>
      </c>
      <c r="R301" s="38"/>
      <c r="S301" s="38" t="s">
        <v>242</v>
      </c>
    </row>
    <row r="302" spans="1:19" ht="39.6" customHeight="1" x14ac:dyDescent="0.3">
      <c r="A302" s="47">
        <v>98668020</v>
      </c>
      <c r="B302" s="39">
        <v>46097</v>
      </c>
      <c r="C302" s="38" t="s">
        <v>1408</v>
      </c>
      <c r="D302" s="47">
        <v>98668020</v>
      </c>
      <c r="E302" s="38" t="s">
        <v>101</v>
      </c>
      <c r="F302" s="37" t="s">
        <v>1414</v>
      </c>
      <c r="G302" s="38">
        <v>3116300485</v>
      </c>
      <c r="H302" s="38">
        <v>2</v>
      </c>
      <c r="I302" s="38" t="s">
        <v>659</v>
      </c>
      <c r="J302" s="38" t="e">
        <v>#REF!</v>
      </c>
      <c r="K302" s="38"/>
      <c r="L302" s="38" t="s">
        <v>1416</v>
      </c>
      <c r="M302" s="39"/>
      <c r="N302" s="38" t="s">
        <v>843</v>
      </c>
      <c r="O302" s="38" t="s">
        <v>390</v>
      </c>
      <c r="P302" s="38" t="s">
        <v>843</v>
      </c>
      <c r="Q302" s="38"/>
      <c r="R302" s="38"/>
      <c r="S302" s="38"/>
    </row>
    <row r="303" spans="1:19" ht="19.2" customHeight="1" x14ac:dyDescent="0.2">
      <c r="A303" s="47">
        <v>98670000</v>
      </c>
      <c r="B303" s="48">
        <v>46050</v>
      </c>
      <c r="C303" s="36" t="s">
        <v>765</v>
      </c>
      <c r="D303" s="47">
        <v>98670000</v>
      </c>
      <c r="E303" s="36" t="s">
        <v>101</v>
      </c>
      <c r="F303" s="37" t="s">
        <v>766</v>
      </c>
      <c r="G303" s="36">
        <v>3007481854</v>
      </c>
      <c r="H303" s="52">
        <v>5</v>
      </c>
      <c r="I303" s="38" t="s">
        <v>657</v>
      </c>
      <c r="J303" s="38" t="s">
        <v>1192</v>
      </c>
      <c r="K303" s="52" t="s">
        <v>834</v>
      </c>
      <c r="L303" s="52"/>
      <c r="M303" s="39">
        <v>46062</v>
      </c>
      <c r="N303" s="38" t="s">
        <v>842</v>
      </c>
      <c r="O303" s="38" t="s">
        <v>390</v>
      </c>
      <c r="P303" s="38" t="s">
        <v>842</v>
      </c>
      <c r="Q303" s="38" t="s">
        <v>1559</v>
      </c>
      <c r="R303" s="38"/>
      <c r="S303" s="38" t="s">
        <v>834</v>
      </c>
    </row>
    <row r="304" spans="1:19" ht="19.2" x14ac:dyDescent="0.3">
      <c r="A304" s="47">
        <v>106788000</v>
      </c>
      <c r="B304" s="39">
        <v>46062</v>
      </c>
      <c r="C304" s="36" t="s">
        <v>1034</v>
      </c>
      <c r="D304" s="47">
        <v>106788000</v>
      </c>
      <c r="E304" s="38" t="s">
        <v>101</v>
      </c>
      <c r="F304" s="37" t="s">
        <v>1035</v>
      </c>
      <c r="G304" s="38" t="s">
        <v>1036</v>
      </c>
      <c r="H304" s="38">
        <v>1</v>
      </c>
      <c r="I304" s="38" t="s">
        <v>641</v>
      </c>
      <c r="J304" s="38" t="s">
        <v>985</v>
      </c>
      <c r="K304" s="38" t="s">
        <v>1017</v>
      </c>
      <c r="L304" s="38"/>
      <c r="M304" s="39">
        <v>46072</v>
      </c>
      <c r="N304" s="38" t="s">
        <v>842</v>
      </c>
      <c r="O304" s="38" t="s">
        <v>390</v>
      </c>
      <c r="P304" s="38" t="s">
        <v>842</v>
      </c>
      <c r="Q304" s="38" t="s">
        <v>1559</v>
      </c>
      <c r="R304" s="38" t="s">
        <v>1585</v>
      </c>
      <c r="S304" s="38"/>
    </row>
    <row r="305" spans="1:19" ht="19.2" customHeight="1" x14ac:dyDescent="0.2">
      <c r="A305" s="47">
        <v>107768932</v>
      </c>
      <c r="B305" s="48">
        <v>46045</v>
      </c>
      <c r="C305" s="36" t="s">
        <v>767</v>
      </c>
      <c r="D305" s="47">
        <v>107768932</v>
      </c>
      <c r="E305" s="36" t="s">
        <v>349</v>
      </c>
      <c r="F305" s="37" t="s">
        <v>768</v>
      </c>
      <c r="G305" s="36">
        <v>3226161925</v>
      </c>
      <c r="H305" s="52">
        <v>4</v>
      </c>
      <c r="I305" s="38" t="s">
        <v>631</v>
      </c>
      <c r="J305" s="38" t="s">
        <v>631</v>
      </c>
      <c r="K305" s="52" t="s">
        <v>833</v>
      </c>
      <c r="L305" s="52"/>
      <c r="M305" s="39">
        <v>46062</v>
      </c>
      <c r="N305" s="38" t="s">
        <v>842</v>
      </c>
      <c r="O305" s="38" t="s">
        <v>390</v>
      </c>
      <c r="P305" s="38" t="s">
        <v>843</v>
      </c>
      <c r="Q305" s="38" t="s">
        <v>1561</v>
      </c>
      <c r="R305" s="38"/>
      <c r="S305" s="38" t="s">
        <v>833</v>
      </c>
    </row>
    <row r="306" spans="1:19" ht="19.2" x14ac:dyDescent="0.3">
      <c r="A306" s="47">
        <v>110280373</v>
      </c>
      <c r="B306" s="51">
        <v>46032</v>
      </c>
      <c r="C306" s="36" t="s">
        <v>279</v>
      </c>
      <c r="D306" s="47">
        <v>110280373</v>
      </c>
      <c r="E306" s="36" t="s">
        <v>101</v>
      </c>
      <c r="F306" s="37" t="s">
        <v>280</v>
      </c>
      <c r="G306" s="38">
        <v>3106715859</v>
      </c>
      <c r="H306" s="38">
        <v>1</v>
      </c>
      <c r="I306" s="38" t="s">
        <v>693</v>
      </c>
      <c r="J306" s="38" t="s">
        <v>694</v>
      </c>
      <c r="K306" s="38" t="s">
        <v>276</v>
      </c>
      <c r="L306" s="38"/>
      <c r="M306" s="39">
        <v>46039</v>
      </c>
      <c r="N306" s="38" t="s">
        <v>842</v>
      </c>
      <c r="O306" s="38" t="s">
        <v>390</v>
      </c>
      <c r="P306" s="38" t="s">
        <v>842</v>
      </c>
      <c r="Q306" s="38" t="s">
        <v>1559</v>
      </c>
      <c r="R306" s="38"/>
      <c r="S306" s="38" t="s">
        <v>276</v>
      </c>
    </row>
    <row r="307" spans="1:19" ht="39.6" customHeight="1" x14ac:dyDescent="0.2">
      <c r="A307" s="47">
        <v>1000699238</v>
      </c>
      <c r="B307" s="48">
        <v>46045</v>
      </c>
      <c r="C307" s="36" t="s">
        <v>769</v>
      </c>
      <c r="D307" s="47">
        <v>1000699238</v>
      </c>
      <c r="E307" s="36" t="s">
        <v>349</v>
      </c>
      <c r="F307" s="37" t="s">
        <v>770</v>
      </c>
      <c r="G307" s="36">
        <v>3236811102</v>
      </c>
      <c r="H307" s="52">
        <v>4</v>
      </c>
      <c r="I307" s="38" t="s">
        <v>631</v>
      </c>
      <c r="J307" s="38" t="s">
        <v>631</v>
      </c>
      <c r="K307" s="52"/>
      <c r="L307" s="52" t="s">
        <v>837</v>
      </c>
      <c r="M307" s="39">
        <v>46062</v>
      </c>
      <c r="N307" s="38" t="s">
        <v>843</v>
      </c>
      <c r="O307" s="38" t="s">
        <v>390</v>
      </c>
      <c r="P307" s="38" t="s">
        <v>843</v>
      </c>
      <c r="Q307" s="38" t="s">
        <v>1558</v>
      </c>
      <c r="R307" s="38"/>
      <c r="S307" s="38"/>
    </row>
    <row r="308" spans="1:19" ht="39.6" hidden="1" customHeight="1" x14ac:dyDescent="0.3">
      <c r="A308" s="47">
        <v>1001113227</v>
      </c>
      <c r="B308" s="49">
        <v>46020</v>
      </c>
      <c r="C308" s="36" t="s">
        <v>10</v>
      </c>
      <c r="D308" s="47">
        <v>1001113227</v>
      </c>
      <c r="E308" s="36" t="s">
        <v>384</v>
      </c>
      <c r="F308" s="37" t="s">
        <v>11</v>
      </c>
      <c r="G308" s="36">
        <v>3168592241</v>
      </c>
      <c r="H308" s="36">
        <v>1</v>
      </c>
      <c r="I308" s="38" t="s">
        <v>631</v>
      </c>
      <c r="J308" s="38" t="s">
        <v>631</v>
      </c>
      <c r="K308" s="36" t="s">
        <v>865</v>
      </c>
      <c r="L308" s="36" t="s">
        <v>247</v>
      </c>
      <c r="M308" s="39">
        <v>46049</v>
      </c>
      <c r="N308" s="38" t="s">
        <v>842</v>
      </c>
      <c r="O308" s="38" t="s">
        <v>380</v>
      </c>
      <c r="P308" s="38" t="s">
        <v>842</v>
      </c>
      <c r="Q308" s="38" t="s">
        <v>1559</v>
      </c>
      <c r="R308" s="38" t="s">
        <v>1565</v>
      </c>
      <c r="S308" s="38" t="s">
        <v>1595</v>
      </c>
    </row>
    <row r="309" spans="1:19" ht="28.8" customHeight="1" x14ac:dyDescent="0.2">
      <c r="A309" s="47">
        <v>1002744143</v>
      </c>
      <c r="B309" s="48">
        <v>46045</v>
      </c>
      <c r="C309" s="36" t="s">
        <v>771</v>
      </c>
      <c r="D309" s="47">
        <v>1002744143</v>
      </c>
      <c r="E309" s="36" t="s">
        <v>349</v>
      </c>
      <c r="F309" s="37" t="s">
        <v>772</v>
      </c>
      <c r="G309" s="36">
        <v>3128630582</v>
      </c>
      <c r="H309" s="52">
        <v>5</v>
      </c>
      <c r="I309" s="38" t="s">
        <v>631</v>
      </c>
      <c r="J309" s="38" t="s">
        <v>631</v>
      </c>
      <c r="K309" s="52" t="s">
        <v>833</v>
      </c>
      <c r="L309" s="52"/>
      <c r="M309" s="39">
        <v>46062</v>
      </c>
      <c r="N309" s="38" t="s">
        <v>842</v>
      </c>
      <c r="O309" s="38" t="s">
        <v>390</v>
      </c>
      <c r="P309" s="38" t="s">
        <v>843</v>
      </c>
      <c r="Q309" s="38" t="s">
        <v>1560</v>
      </c>
      <c r="R309" s="38"/>
      <c r="S309" s="38" t="s">
        <v>833</v>
      </c>
    </row>
    <row r="310" spans="1:19" ht="19.2" x14ac:dyDescent="0.3">
      <c r="A310" s="47">
        <v>1003314001</v>
      </c>
      <c r="B310" s="39">
        <v>46097</v>
      </c>
      <c r="C310" s="38" t="s">
        <v>1407</v>
      </c>
      <c r="D310" s="47">
        <v>1003314001</v>
      </c>
      <c r="E310" s="38" t="s">
        <v>101</v>
      </c>
      <c r="F310" s="37" t="s">
        <v>1413</v>
      </c>
      <c r="G310" s="38">
        <v>3147459249</v>
      </c>
      <c r="H310" s="38">
        <v>1</v>
      </c>
      <c r="I310" s="38" t="s">
        <v>638</v>
      </c>
      <c r="J310" s="38" t="e">
        <v>#REF!</v>
      </c>
      <c r="K310" s="38"/>
      <c r="L310" s="38" t="s">
        <v>1416</v>
      </c>
      <c r="M310" s="39"/>
      <c r="N310" s="38" t="s">
        <v>843</v>
      </c>
      <c r="O310" s="38" t="s">
        <v>390</v>
      </c>
      <c r="P310" s="38" t="s">
        <v>843</v>
      </c>
      <c r="Q310" s="38"/>
      <c r="R310" s="38"/>
      <c r="S310" s="38"/>
    </row>
    <row r="311" spans="1:19" ht="19.2" hidden="1" x14ac:dyDescent="0.3">
      <c r="A311" s="47">
        <v>1005065097</v>
      </c>
      <c r="B311" s="39">
        <v>46062</v>
      </c>
      <c r="C311" s="36" t="s">
        <v>1060</v>
      </c>
      <c r="D311" s="47">
        <v>1005065097</v>
      </c>
      <c r="E311" s="38" t="s">
        <v>261</v>
      </c>
      <c r="F311" s="37" t="s">
        <v>1061</v>
      </c>
      <c r="G311" s="38" t="s">
        <v>1062</v>
      </c>
      <c r="H311" s="38">
        <v>3</v>
      </c>
      <c r="I311" s="38" t="s">
        <v>643</v>
      </c>
      <c r="J311" s="38" t="s">
        <v>681</v>
      </c>
      <c r="K311" s="38" t="s">
        <v>1017</v>
      </c>
      <c r="L311" s="38"/>
      <c r="M311" s="39">
        <v>46072</v>
      </c>
      <c r="N311" s="38" t="s">
        <v>842</v>
      </c>
      <c r="O311" s="38" t="s">
        <v>380</v>
      </c>
      <c r="P311" s="38" t="s">
        <v>842</v>
      </c>
      <c r="Q311" s="38" t="s">
        <v>1559</v>
      </c>
      <c r="R311" s="38"/>
      <c r="S311" s="38"/>
    </row>
    <row r="312" spans="1:19" ht="19.2" x14ac:dyDescent="0.3">
      <c r="A312" s="47">
        <v>1006508594</v>
      </c>
      <c r="B312" s="39">
        <v>46073</v>
      </c>
      <c r="C312" s="36" t="s">
        <v>1214</v>
      </c>
      <c r="D312" s="47">
        <v>1006508594</v>
      </c>
      <c r="E312" s="38" t="s">
        <v>101</v>
      </c>
      <c r="F312" s="37" t="s">
        <v>1215</v>
      </c>
      <c r="G312" s="38">
        <v>3112594086</v>
      </c>
      <c r="H312" s="38">
        <v>4</v>
      </c>
      <c r="I312" s="38" t="s">
        <v>970</v>
      </c>
      <c r="J312" s="38" t="e">
        <v>#REF!</v>
      </c>
      <c r="K312" s="38"/>
      <c r="L312" s="38" t="s">
        <v>1196</v>
      </c>
      <c r="M312" s="39">
        <v>46076</v>
      </c>
      <c r="N312" s="38" t="s">
        <v>843</v>
      </c>
      <c r="O312" s="38" t="s">
        <v>390</v>
      </c>
      <c r="P312" s="38" t="s">
        <v>1555</v>
      </c>
      <c r="Q312" s="38" t="s">
        <v>1558</v>
      </c>
      <c r="R312" s="38"/>
      <c r="S312" s="38"/>
    </row>
    <row r="313" spans="1:19" ht="19.2" hidden="1" x14ac:dyDescent="0.3">
      <c r="A313" s="47">
        <v>1006904202</v>
      </c>
      <c r="B313" s="48">
        <v>46017</v>
      </c>
      <c r="C313" s="36" t="s">
        <v>232</v>
      </c>
      <c r="D313" s="47">
        <v>1006904202</v>
      </c>
      <c r="E313" s="36" t="s">
        <v>261</v>
      </c>
      <c r="F313" s="37" t="s">
        <v>233</v>
      </c>
      <c r="G313" s="36">
        <v>3228679970</v>
      </c>
      <c r="H313" s="36">
        <v>4</v>
      </c>
      <c r="I313" s="38" t="s">
        <v>707</v>
      </c>
      <c r="J313" s="38" t="s">
        <v>977</v>
      </c>
      <c r="K313" s="36" t="s">
        <v>242</v>
      </c>
      <c r="L313" s="36"/>
      <c r="M313" s="39">
        <v>46035</v>
      </c>
      <c r="N313" s="38" t="s">
        <v>842</v>
      </c>
      <c r="O313" s="38" t="s">
        <v>380</v>
      </c>
      <c r="P313" s="38" t="s">
        <v>842</v>
      </c>
      <c r="Q313" s="38" t="s">
        <v>1559</v>
      </c>
      <c r="R313" s="38"/>
      <c r="S313" s="38" t="s">
        <v>242</v>
      </c>
    </row>
    <row r="314" spans="1:19" ht="19.2" hidden="1" x14ac:dyDescent="0.3">
      <c r="A314" s="47">
        <v>1007384556</v>
      </c>
      <c r="B314" s="48">
        <v>46025</v>
      </c>
      <c r="C314" s="36" t="s">
        <v>93</v>
      </c>
      <c r="D314" s="47">
        <v>1007384556</v>
      </c>
      <c r="E314" s="36" t="s">
        <v>261</v>
      </c>
      <c r="F314" s="37" t="s">
        <v>94</v>
      </c>
      <c r="G314" s="36">
        <v>3229244880</v>
      </c>
      <c r="H314" s="36">
        <v>3</v>
      </c>
      <c r="I314" s="38" t="s">
        <v>643</v>
      </c>
      <c r="J314" s="38" t="e">
        <v>#REF!</v>
      </c>
      <c r="K314" s="40"/>
      <c r="L314" s="36" t="s">
        <v>250</v>
      </c>
      <c r="M314" s="39">
        <v>46035</v>
      </c>
      <c r="N314" s="38" t="s">
        <v>843</v>
      </c>
      <c r="O314" s="38" t="s">
        <v>380</v>
      </c>
      <c r="P314" s="38" t="s">
        <v>843</v>
      </c>
      <c r="Q314" s="38" t="s">
        <v>1558</v>
      </c>
      <c r="R314" s="38"/>
      <c r="S314" s="38"/>
    </row>
    <row r="315" spans="1:19" ht="19.2" hidden="1" x14ac:dyDescent="0.3">
      <c r="A315" s="47">
        <v>1007760287</v>
      </c>
      <c r="B315" s="49">
        <v>46020</v>
      </c>
      <c r="C315" s="36" t="s">
        <v>153</v>
      </c>
      <c r="D315" s="47">
        <v>1007760287</v>
      </c>
      <c r="E315" s="36" t="s">
        <v>261</v>
      </c>
      <c r="F315" s="37" t="s">
        <v>154</v>
      </c>
      <c r="G315" s="36">
        <v>3162377716</v>
      </c>
      <c r="H315" s="36">
        <v>3</v>
      </c>
      <c r="I315" s="38" t="s">
        <v>643</v>
      </c>
      <c r="J315" s="38" t="s">
        <v>681</v>
      </c>
      <c r="K315" s="36" t="s">
        <v>866</v>
      </c>
      <c r="L315" s="36"/>
      <c r="M315" s="39">
        <v>46035</v>
      </c>
      <c r="N315" s="38" t="s">
        <v>842</v>
      </c>
      <c r="O315" s="38" t="s">
        <v>380</v>
      </c>
      <c r="P315" s="38" t="s">
        <v>843</v>
      </c>
      <c r="Q315" s="38" t="s">
        <v>1561</v>
      </c>
      <c r="R315" s="38"/>
      <c r="S315" s="38" t="s">
        <v>245</v>
      </c>
    </row>
    <row r="316" spans="1:19" ht="19.2" hidden="1" x14ac:dyDescent="0.3">
      <c r="A316" s="47">
        <v>1007961043</v>
      </c>
      <c r="B316" s="48">
        <v>46025</v>
      </c>
      <c r="C316" s="36" t="s">
        <v>89</v>
      </c>
      <c r="D316" s="47">
        <v>1007961043</v>
      </c>
      <c r="E316" s="36" t="s">
        <v>384</v>
      </c>
      <c r="F316" s="37" t="s">
        <v>90</v>
      </c>
      <c r="G316" s="36">
        <v>3016273810</v>
      </c>
      <c r="H316" s="36">
        <v>3</v>
      </c>
      <c r="I316" s="38" t="s">
        <v>676</v>
      </c>
      <c r="J316" s="38" t="s">
        <v>677</v>
      </c>
      <c r="K316" s="36" t="s">
        <v>250</v>
      </c>
      <c r="L316" s="36"/>
      <c r="M316" s="39">
        <v>46035</v>
      </c>
      <c r="N316" s="38" t="s">
        <v>842</v>
      </c>
      <c r="O316" s="38" t="s">
        <v>380</v>
      </c>
      <c r="P316" s="38" t="s">
        <v>842</v>
      </c>
      <c r="Q316" s="38" t="s">
        <v>1559</v>
      </c>
      <c r="R316" s="38"/>
      <c r="S316" s="38" t="s">
        <v>250</v>
      </c>
    </row>
    <row r="317" spans="1:19" ht="19.2" hidden="1" x14ac:dyDescent="0.3">
      <c r="A317" s="47">
        <v>1010038738</v>
      </c>
      <c r="B317" s="39">
        <v>46035</v>
      </c>
      <c r="C317" s="36" t="s">
        <v>67</v>
      </c>
      <c r="D317" s="47">
        <v>1010038738</v>
      </c>
      <c r="E317" s="36" t="s">
        <v>261</v>
      </c>
      <c r="F317" s="37" t="s">
        <v>68</v>
      </c>
      <c r="G317" s="38">
        <v>3223610539</v>
      </c>
      <c r="H317" s="38">
        <v>4</v>
      </c>
      <c r="I317" s="38" t="s">
        <v>631</v>
      </c>
      <c r="J317" s="38" t="s">
        <v>631</v>
      </c>
      <c r="K317" s="38" t="s">
        <v>465</v>
      </c>
      <c r="L317" s="38"/>
      <c r="M317" s="39">
        <v>46043</v>
      </c>
      <c r="N317" s="38" t="s">
        <v>842</v>
      </c>
      <c r="O317" s="38" t="s">
        <v>380</v>
      </c>
      <c r="P317" s="38" t="s">
        <v>842</v>
      </c>
      <c r="Q317" s="38" t="s">
        <v>1559</v>
      </c>
      <c r="R317" s="38"/>
      <c r="S317" s="38" t="s">
        <v>465</v>
      </c>
    </row>
    <row r="318" spans="1:19" ht="39.6" hidden="1" customHeight="1" x14ac:dyDescent="0.3">
      <c r="A318" s="47">
        <v>1010068890</v>
      </c>
      <c r="B318" s="48">
        <v>46025</v>
      </c>
      <c r="C318" s="36" t="s">
        <v>95</v>
      </c>
      <c r="D318" s="47">
        <v>1010068890</v>
      </c>
      <c r="E318" s="36" t="s">
        <v>381</v>
      </c>
      <c r="F318" s="37" t="s">
        <v>96</v>
      </c>
      <c r="G318" s="36">
        <v>3213871695</v>
      </c>
      <c r="H318" s="36">
        <v>4</v>
      </c>
      <c r="I318" s="38" t="s">
        <v>631</v>
      </c>
      <c r="J318" s="38" t="s">
        <v>631</v>
      </c>
      <c r="K318" s="36" t="s">
        <v>250</v>
      </c>
      <c r="L318" s="36"/>
      <c r="M318" s="39">
        <v>46035</v>
      </c>
      <c r="N318" s="38" t="s">
        <v>842</v>
      </c>
      <c r="O318" s="38" t="s">
        <v>380</v>
      </c>
      <c r="P318" s="38" t="s">
        <v>842</v>
      </c>
      <c r="Q318" s="38" t="s">
        <v>1559</v>
      </c>
      <c r="R318" s="38"/>
      <c r="S318" s="38" t="s">
        <v>250</v>
      </c>
    </row>
    <row r="319" spans="1:19" ht="52.8" customHeight="1" x14ac:dyDescent="0.3">
      <c r="A319" s="47">
        <v>1010215164</v>
      </c>
      <c r="B319" s="39">
        <v>46073</v>
      </c>
      <c r="C319" s="36" t="s">
        <v>1217</v>
      </c>
      <c r="D319" s="47">
        <v>1010215164</v>
      </c>
      <c r="E319" s="38" t="s">
        <v>349</v>
      </c>
      <c r="F319" s="37" t="s">
        <v>1218</v>
      </c>
      <c r="G319" s="38" t="s">
        <v>1219</v>
      </c>
      <c r="H319" s="38">
        <v>2</v>
      </c>
      <c r="I319" s="38" t="s">
        <v>631</v>
      </c>
      <c r="J319" s="38" t="s">
        <v>631</v>
      </c>
      <c r="K319" s="38"/>
      <c r="L319" s="38" t="s">
        <v>1196</v>
      </c>
      <c r="M319" s="39">
        <v>46076</v>
      </c>
      <c r="N319" s="38" t="s">
        <v>843</v>
      </c>
      <c r="O319" s="38" t="s">
        <v>390</v>
      </c>
      <c r="P319" s="38" t="s">
        <v>1555</v>
      </c>
      <c r="Q319" s="38" t="s">
        <v>1558</v>
      </c>
      <c r="R319" s="38"/>
      <c r="S319" s="38"/>
    </row>
    <row r="320" spans="1:19" ht="39.6" hidden="1" customHeight="1" x14ac:dyDescent="0.3">
      <c r="A320" s="47">
        <v>1012323988</v>
      </c>
      <c r="B320" s="39">
        <v>46056</v>
      </c>
      <c r="C320" s="36" t="s">
        <v>952</v>
      </c>
      <c r="D320" s="47">
        <v>1012323988</v>
      </c>
      <c r="E320" s="38" t="s">
        <v>261</v>
      </c>
      <c r="F320" s="37" t="s">
        <v>965</v>
      </c>
      <c r="G320" s="38" t="s">
        <v>966</v>
      </c>
      <c r="H320" s="38">
        <v>4</v>
      </c>
      <c r="I320" s="38" t="s">
        <v>631</v>
      </c>
      <c r="J320" s="38" t="s">
        <v>631</v>
      </c>
      <c r="K320" s="38" t="s">
        <v>942</v>
      </c>
      <c r="L320" s="38"/>
      <c r="M320" s="39">
        <v>46063</v>
      </c>
      <c r="N320" s="38" t="s">
        <v>842</v>
      </c>
      <c r="O320" s="38" t="s">
        <v>380</v>
      </c>
      <c r="P320" s="38" t="s">
        <v>842</v>
      </c>
      <c r="Q320" s="38" t="s">
        <v>1559</v>
      </c>
      <c r="R320" s="38"/>
      <c r="S320" s="38"/>
    </row>
    <row r="321" spans="1:19" ht="39.6" hidden="1" customHeight="1" x14ac:dyDescent="0.3">
      <c r="A321" s="47">
        <v>1012334681</v>
      </c>
      <c r="B321" s="39">
        <v>46035</v>
      </c>
      <c r="C321" s="36" t="s">
        <v>49</v>
      </c>
      <c r="D321" s="47">
        <v>1012334681</v>
      </c>
      <c r="E321" s="36" t="s">
        <v>261</v>
      </c>
      <c r="F321" s="37" t="s">
        <v>50</v>
      </c>
      <c r="G321" s="38" t="s">
        <v>51</v>
      </c>
      <c r="H321" s="38">
        <v>4</v>
      </c>
      <c r="I321" s="38" t="s">
        <v>631</v>
      </c>
      <c r="J321" s="38" t="s">
        <v>631</v>
      </c>
      <c r="K321" s="38" t="s">
        <v>465</v>
      </c>
      <c r="L321" s="38"/>
      <c r="M321" s="39">
        <v>46043</v>
      </c>
      <c r="N321" s="38" t="s">
        <v>842</v>
      </c>
      <c r="O321" s="38" t="s">
        <v>380</v>
      </c>
      <c r="P321" s="38" t="s">
        <v>842</v>
      </c>
      <c r="Q321" s="38" t="s">
        <v>1559</v>
      </c>
      <c r="R321" s="38"/>
      <c r="S321" s="38" t="s">
        <v>465</v>
      </c>
    </row>
    <row r="322" spans="1:19" ht="43.2" customHeight="1" x14ac:dyDescent="0.2">
      <c r="A322" s="47">
        <v>1012359064</v>
      </c>
      <c r="B322" s="48">
        <v>46050</v>
      </c>
      <c r="C322" s="36" t="s">
        <v>773</v>
      </c>
      <c r="D322" s="47">
        <v>1012359064</v>
      </c>
      <c r="E322" s="36" t="s">
        <v>349</v>
      </c>
      <c r="F322" s="37" t="s">
        <v>774</v>
      </c>
      <c r="G322" s="36">
        <v>3232846025</v>
      </c>
      <c r="H322" s="52">
        <v>4</v>
      </c>
      <c r="I322" s="38" t="s">
        <v>631</v>
      </c>
      <c r="J322" s="38" t="s">
        <v>631</v>
      </c>
      <c r="K322" s="52"/>
      <c r="L322" s="52" t="s">
        <v>836</v>
      </c>
      <c r="M322" s="39">
        <v>46062</v>
      </c>
      <c r="N322" s="38" t="s">
        <v>843</v>
      </c>
      <c r="O322" s="38" t="s">
        <v>390</v>
      </c>
      <c r="P322" s="38" t="s">
        <v>843</v>
      </c>
      <c r="Q322" s="38" t="s">
        <v>1558</v>
      </c>
      <c r="R322" s="38"/>
      <c r="S322" s="38"/>
    </row>
    <row r="323" spans="1:19" ht="39.6" hidden="1" customHeight="1" x14ac:dyDescent="0.3">
      <c r="A323" s="47">
        <v>1012368271</v>
      </c>
      <c r="B323" s="39" t="s">
        <v>1309</v>
      </c>
      <c r="C323" s="36" t="s">
        <v>1144</v>
      </c>
      <c r="D323" s="47">
        <v>1012368271</v>
      </c>
      <c r="E323" s="38" t="s">
        <v>389</v>
      </c>
      <c r="F323" s="37" t="s">
        <v>1145</v>
      </c>
      <c r="G323" s="38">
        <v>3223929167</v>
      </c>
      <c r="H323" s="38">
        <v>4</v>
      </c>
      <c r="I323" s="38" t="s">
        <v>631</v>
      </c>
      <c r="J323" s="38" t="s">
        <v>631</v>
      </c>
      <c r="K323" s="38"/>
      <c r="L323" s="38" t="s">
        <v>1308</v>
      </c>
      <c r="M323" s="39">
        <v>46076</v>
      </c>
      <c r="N323" s="38" t="s">
        <v>843</v>
      </c>
      <c r="O323" s="38" t="s">
        <v>390</v>
      </c>
      <c r="P323" s="38" t="s">
        <v>1555</v>
      </c>
      <c r="Q323" s="38" t="s">
        <v>1558</v>
      </c>
      <c r="R323" s="38"/>
      <c r="S323" s="38"/>
    </row>
    <row r="324" spans="1:19" ht="39.6" hidden="1" customHeight="1" x14ac:dyDescent="0.3">
      <c r="A324" s="47">
        <v>1012419128</v>
      </c>
      <c r="B324" s="50">
        <v>46029</v>
      </c>
      <c r="C324" s="36" t="s">
        <v>32</v>
      </c>
      <c r="D324" s="47">
        <v>1012419128</v>
      </c>
      <c r="E324" s="36" t="s">
        <v>389</v>
      </c>
      <c r="F324" s="37" t="s">
        <v>33</v>
      </c>
      <c r="G324" s="36">
        <v>3107531191</v>
      </c>
      <c r="H324" s="36">
        <v>4</v>
      </c>
      <c r="I324" s="38" t="s">
        <v>631</v>
      </c>
      <c r="J324" s="38" t="s">
        <v>631</v>
      </c>
      <c r="K324" s="36" t="s">
        <v>258</v>
      </c>
      <c r="L324" s="36"/>
      <c r="M324" s="39">
        <v>46035</v>
      </c>
      <c r="N324" s="38" t="s">
        <v>842</v>
      </c>
      <c r="O324" s="38" t="s">
        <v>390</v>
      </c>
      <c r="P324" s="38" t="s">
        <v>842</v>
      </c>
      <c r="Q324" s="38" t="s">
        <v>1559</v>
      </c>
      <c r="R324" s="38"/>
      <c r="S324" s="38" t="s">
        <v>258</v>
      </c>
    </row>
    <row r="325" spans="1:19" ht="52.8" hidden="1" customHeight="1" x14ac:dyDescent="0.3">
      <c r="A325" s="47">
        <v>1012423950</v>
      </c>
      <c r="B325" s="48">
        <v>46017</v>
      </c>
      <c r="C325" s="36" t="s">
        <v>230</v>
      </c>
      <c r="D325" s="47">
        <v>1012423950</v>
      </c>
      <c r="E325" s="36" t="s">
        <v>261</v>
      </c>
      <c r="F325" s="37" t="s">
        <v>231</v>
      </c>
      <c r="G325" s="36">
        <v>3159267374</v>
      </c>
      <c r="H325" s="36">
        <v>4</v>
      </c>
      <c r="I325" s="38" t="s">
        <v>631</v>
      </c>
      <c r="J325" s="38" t="s">
        <v>631</v>
      </c>
      <c r="K325" s="36" t="s">
        <v>242</v>
      </c>
      <c r="L325" s="36"/>
      <c r="M325" s="39">
        <v>46035</v>
      </c>
      <c r="N325" s="38" t="s">
        <v>842</v>
      </c>
      <c r="O325" s="38" t="s">
        <v>380</v>
      </c>
      <c r="P325" s="38" t="s">
        <v>842</v>
      </c>
      <c r="Q325" s="38" t="s">
        <v>1559</v>
      </c>
      <c r="R325" s="38"/>
      <c r="S325" s="38" t="s">
        <v>242</v>
      </c>
    </row>
    <row r="326" spans="1:19" ht="39.6" hidden="1" customHeight="1" x14ac:dyDescent="0.3">
      <c r="A326" s="47">
        <v>1012427818</v>
      </c>
      <c r="B326" s="50">
        <v>46029</v>
      </c>
      <c r="C326" s="36" t="s">
        <v>58</v>
      </c>
      <c r="D326" s="47">
        <v>1012427818</v>
      </c>
      <c r="E326" s="36" t="s">
        <v>261</v>
      </c>
      <c r="F326" s="37" t="s">
        <v>59</v>
      </c>
      <c r="G326" s="36" t="s">
        <v>60</v>
      </c>
      <c r="H326" s="36">
        <v>4</v>
      </c>
      <c r="I326" s="38" t="s">
        <v>631</v>
      </c>
      <c r="J326" s="38" t="s">
        <v>631</v>
      </c>
      <c r="K326" s="36" t="s">
        <v>258</v>
      </c>
      <c r="L326" s="36"/>
      <c r="M326" s="39">
        <v>46035</v>
      </c>
      <c r="N326" s="38" t="s">
        <v>842</v>
      </c>
      <c r="O326" s="38" t="s">
        <v>380</v>
      </c>
      <c r="P326" s="38" t="s">
        <v>842</v>
      </c>
      <c r="Q326" s="38" t="s">
        <v>1559</v>
      </c>
      <c r="R326" s="38"/>
      <c r="S326" s="38" t="s">
        <v>258</v>
      </c>
    </row>
    <row r="327" spans="1:19" ht="39.6" customHeight="1" x14ac:dyDescent="0.3">
      <c r="A327" s="47">
        <v>1012432233</v>
      </c>
      <c r="B327" s="51">
        <v>46032</v>
      </c>
      <c r="C327" s="36" t="s">
        <v>264</v>
      </c>
      <c r="D327" s="47">
        <v>1012432233</v>
      </c>
      <c r="E327" s="36" t="s">
        <v>349</v>
      </c>
      <c r="F327" s="37" t="s">
        <v>265</v>
      </c>
      <c r="G327" s="38">
        <v>3114785812</v>
      </c>
      <c r="H327" s="38">
        <v>4</v>
      </c>
      <c r="I327" s="38" t="s">
        <v>631</v>
      </c>
      <c r="J327" s="38" t="s">
        <v>631</v>
      </c>
      <c r="K327" s="38" t="s">
        <v>266</v>
      </c>
      <c r="L327" s="38"/>
      <c r="M327" s="39">
        <v>46039</v>
      </c>
      <c r="N327" s="38" t="s">
        <v>842</v>
      </c>
      <c r="O327" s="38" t="s">
        <v>390</v>
      </c>
      <c r="P327" s="38" t="s">
        <v>842</v>
      </c>
      <c r="Q327" s="38" t="s">
        <v>1559</v>
      </c>
      <c r="R327" s="38"/>
      <c r="S327" s="38" t="s">
        <v>266</v>
      </c>
    </row>
    <row r="328" spans="1:19" ht="52.8" hidden="1" customHeight="1" x14ac:dyDescent="0.3">
      <c r="A328" s="47">
        <v>1012437010</v>
      </c>
      <c r="B328" s="50">
        <v>46029</v>
      </c>
      <c r="C328" s="36" t="s">
        <v>65</v>
      </c>
      <c r="D328" s="47">
        <v>1012437010</v>
      </c>
      <c r="E328" s="36" t="s">
        <v>382</v>
      </c>
      <c r="F328" s="37" t="s">
        <v>66</v>
      </c>
      <c r="G328" s="36">
        <v>3005328220</v>
      </c>
      <c r="H328" s="36">
        <v>4</v>
      </c>
      <c r="I328" s="38" t="s">
        <v>631</v>
      </c>
      <c r="J328" s="38" t="s">
        <v>631</v>
      </c>
      <c r="K328" s="36" t="s">
        <v>258</v>
      </c>
      <c r="L328" s="36"/>
      <c r="M328" s="39">
        <v>46035</v>
      </c>
      <c r="N328" s="38" t="s">
        <v>842</v>
      </c>
      <c r="O328" s="38" t="s">
        <v>380</v>
      </c>
      <c r="P328" s="38" t="s">
        <v>842</v>
      </c>
      <c r="Q328" s="38" t="s">
        <v>1559</v>
      </c>
      <c r="R328" s="38"/>
      <c r="S328" s="38" t="s">
        <v>258</v>
      </c>
    </row>
    <row r="329" spans="1:19" ht="39.6" hidden="1" customHeight="1" x14ac:dyDescent="0.3">
      <c r="A329" s="47">
        <v>1012440591</v>
      </c>
      <c r="B329" s="39">
        <v>46045</v>
      </c>
      <c r="C329" s="36" t="s">
        <v>606</v>
      </c>
      <c r="D329" s="47">
        <v>1012440591</v>
      </c>
      <c r="E329" s="36" t="s">
        <v>382</v>
      </c>
      <c r="F329" s="37" t="s">
        <v>607</v>
      </c>
      <c r="G329" s="38">
        <v>3114889443</v>
      </c>
      <c r="H329" s="38">
        <v>4</v>
      </c>
      <c r="I329" s="38" t="s">
        <v>631</v>
      </c>
      <c r="J329" s="38" t="s">
        <v>631</v>
      </c>
      <c r="K329" s="38" t="s">
        <v>589</v>
      </c>
      <c r="L329" s="38"/>
      <c r="M329" s="39">
        <v>46049</v>
      </c>
      <c r="N329" s="38" t="s">
        <v>842</v>
      </c>
      <c r="O329" s="38" t="s">
        <v>380</v>
      </c>
      <c r="P329" s="38" t="s">
        <v>843</v>
      </c>
      <c r="Q329" s="38" t="s">
        <v>1561</v>
      </c>
      <c r="R329" s="38"/>
      <c r="S329" s="38" t="s">
        <v>589</v>
      </c>
    </row>
    <row r="330" spans="1:19" ht="52.8" hidden="1" customHeight="1" x14ac:dyDescent="0.3">
      <c r="A330" s="47">
        <v>1012462137</v>
      </c>
      <c r="B330" s="50">
        <v>46029</v>
      </c>
      <c r="C330" s="36" t="s">
        <v>69</v>
      </c>
      <c r="D330" s="47">
        <v>1012462137</v>
      </c>
      <c r="E330" s="36" t="s">
        <v>382</v>
      </c>
      <c r="F330" s="37" t="s">
        <v>70</v>
      </c>
      <c r="G330" s="36" t="s">
        <v>71</v>
      </c>
      <c r="H330" s="36">
        <v>4</v>
      </c>
      <c r="I330" s="38" t="s">
        <v>631</v>
      </c>
      <c r="J330" s="38" t="s">
        <v>631</v>
      </c>
      <c r="K330" s="36" t="s">
        <v>258</v>
      </c>
      <c r="L330" s="36"/>
      <c r="M330" s="39">
        <v>46035</v>
      </c>
      <c r="N330" s="38" t="s">
        <v>842</v>
      </c>
      <c r="O330" s="38" t="s">
        <v>380</v>
      </c>
      <c r="P330" s="38" t="s">
        <v>842</v>
      </c>
      <c r="Q330" s="38" t="s">
        <v>1559</v>
      </c>
      <c r="R330" s="38"/>
      <c r="S330" s="38" t="s">
        <v>258</v>
      </c>
    </row>
    <row r="331" spans="1:19" ht="39.6" hidden="1" customHeight="1" x14ac:dyDescent="0.3">
      <c r="A331" s="47">
        <v>1013585966</v>
      </c>
      <c r="B331" s="48">
        <v>46017</v>
      </c>
      <c r="C331" s="36" t="s">
        <v>177</v>
      </c>
      <c r="D331" s="47">
        <v>1013585966</v>
      </c>
      <c r="E331" s="36" t="s">
        <v>366</v>
      </c>
      <c r="F331" s="37" t="s">
        <v>178</v>
      </c>
      <c r="G331" s="36">
        <v>3132306105</v>
      </c>
      <c r="H331" s="36">
        <v>1</v>
      </c>
      <c r="I331" s="38" t="s">
        <v>631</v>
      </c>
      <c r="J331" s="38" t="s">
        <v>631</v>
      </c>
      <c r="K331" s="36" t="s">
        <v>242</v>
      </c>
      <c r="L331" s="36"/>
      <c r="M331" s="39">
        <v>46035</v>
      </c>
      <c r="N331" s="38" t="s">
        <v>842</v>
      </c>
      <c r="O331" s="38" t="s">
        <v>380</v>
      </c>
      <c r="P331" s="38" t="s">
        <v>842</v>
      </c>
      <c r="Q331" s="38" t="s">
        <v>1559</v>
      </c>
      <c r="R331" s="38"/>
      <c r="S331" s="38" t="s">
        <v>242</v>
      </c>
    </row>
    <row r="332" spans="1:19" ht="52.8" customHeight="1" x14ac:dyDescent="0.3">
      <c r="A332" s="47">
        <v>1013608492</v>
      </c>
      <c r="B332" s="39">
        <v>46062</v>
      </c>
      <c r="C332" s="36" t="s">
        <v>1079</v>
      </c>
      <c r="D332" s="47">
        <v>1013608492</v>
      </c>
      <c r="E332" s="38" t="s">
        <v>349</v>
      </c>
      <c r="F332" s="37" t="s">
        <v>1080</v>
      </c>
      <c r="G332" s="38">
        <v>3132636704</v>
      </c>
      <c r="H332" s="38">
        <v>4</v>
      </c>
      <c r="I332" s="38" t="s">
        <v>631</v>
      </c>
      <c r="J332" s="38" t="s">
        <v>631</v>
      </c>
      <c r="K332" s="38" t="s">
        <v>1064</v>
      </c>
      <c r="L332" s="38"/>
      <c r="M332" s="39">
        <v>46072</v>
      </c>
      <c r="N332" s="38" t="s">
        <v>842</v>
      </c>
      <c r="O332" s="38" t="s">
        <v>390</v>
      </c>
      <c r="P332" s="38" t="s">
        <v>843</v>
      </c>
      <c r="Q332" s="38" t="s">
        <v>1561</v>
      </c>
      <c r="R332" s="38"/>
      <c r="S332" s="38"/>
    </row>
    <row r="333" spans="1:19" ht="39.6" customHeight="1" x14ac:dyDescent="0.3">
      <c r="A333" s="47">
        <v>1013613271</v>
      </c>
      <c r="B333" s="39">
        <v>46062</v>
      </c>
      <c r="C333" s="36" t="s">
        <v>1001</v>
      </c>
      <c r="D333" s="47">
        <v>1013613271</v>
      </c>
      <c r="E333" s="38" t="s">
        <v>349</v>
      </c>
      <c r="F333" s="37" t="s">
        <v>1002</v>
      </c>
      <c r="G333" s="38">
        <v>3208786742</v>
      </c>
      <c r="H333" s="38">
        <v>4</v>
      </c>
      <c r="I333" s="38" t="s">
        <v>631</v>
      </c>
      <c r="J333" s="38" t="s">
        <v>631</v>
      </c>
      <c r="K333" s="38"/>
      <c r="L333" s="38" t="s">
        <v>996</v>
      </c>
      <c r="M333" s="39">
        <v>46069</v>
      </c>
      <c r="N333" s="38" t="s">
        <v>843</v>
      </c>
      <c r="O333" s="38" t="s">
        <v>390</v>
      </c>
      <c r="P333" s="38" t="s">
        <v>843</v>
      </c>
      <c r="Q333" s="38" t="s">
        <v>1558</v>
      </c>
      <c r="R333" s="38"/>
      <c r="S333" s="38"/>
    </row>
    <row r="334" spans="1:19" ht="39.6" customHeight="1" x14ac:dyDescent="0.3">
      <c r="A334" s="47">
        <v>1013636954</v>
      </c>
      <c r="B334" s="51" t="s">
        <v>540</v>
      </c>
      <c r="C334" s="36" t="s">
        <v>339</v>
      </c>
      <c r="D334" s="47">
        <v>1013636954</v>
      </c>
      <c r="E334" s="36" t="s">
        <v>101</v>
      </c>
      <c r="F334" s="37" t="s">
        <v>340</v>
      </c>
      <c r="G334" s="38" t="s">
        <v>341</v>
      </c>
      <c r="H334" s="38">
        <v>4</v>
      </c>
      <c r="I334" s="38" t="s">
        <v>631</v>
      </c>
      <c r="J334" s="38" t="s">
        <v>631</v>
      </c>
      <c r="K334" s="42"/>
      <c r="L334" s="38" t="s">
        <v>541</v>
      </c>
      <c r="M334" s="39">
        <v>46049</v>
      </c>
      <c r="N334" s="38" t="s">
        <v>843</v>
      </c>
      <c r="O334" s="38" t="s">
        <v>390</v>
      </c>
      <c r="P334" s="38" t="s">
        <v>1555</v>
      </c>
      <c r="Q334" s="38" t="s">
        <v>1558</v>
      </c>
      <c r="R334" s="38"/>
      <c r="S334" s="38"/>
    </row>
    <row r="335" spans="1:19" ht="39.6" customHeight="1" x14ac:dyDescent="0.3">
      <c r="A335" s="47">
        <v>1013640659</v>
      </c>
      <c r="B335" s="39">
        <v>46062</v>
      </c>
      <c r="C335" s="36" t="s">
        <v>1111</v>
      </c>
      <c r="D335" s="47">
        <v>1013640659</v>
      </c>
      <c r="E335" s="38" t="s">
        <v>349</v>
      </c>
      <c r="F335" s="37" t="s">
        <v>1112</v>
      </c>
      <c r="G335" s="38" t="s">
        <v>1113</v>
      </c>
      <c r="H335" s="38">
        <v>1</v>
      </c>
      <c r="I335" s="38" t="s">
        <v>693</v>
      </c>
      <c r="J335" s="38" t="s">
        <v>694</v>
      </c>
      <c r="K335" s="38"/>
      <c r="L335" s="38" t="s">
        <v>1106</v>
      </c>
      <c r="M335" s="39">
        <v>46069</v>
      </c>
      <c r="N335" s="38" t="s">
        <v>843</v>
      </c>
      <c r="O335" s="38" t="s">
        <v>390</v>
      </c>
      <c r="P335" s="38" t="s">
        <v>843</v>
      </c>
      <c r="Q335" s="38" t="s">
        <v>1558</v>
      </c>
      <c r="R335" s="38"/>
      <c r="S335" s="38"/>
    </row>
    <row r="336" spans="1:19" ht="39.6" customHeight="1" x14ac:dyDescent="0.3">
      <c r="A336" s="47">
        <v>1013660735</v>
      </c>
      <c r="B336" s="39">
        <v>46038</v>
      </c>
      <c r="C336" s="36" t="s">
        <v>359</v>
      </c>
      <c r="D336" s="47">
        <v>1013660735</v>
      </c>
      <c r="E336" s="36" t="s">
        <v>349</v>
      </c>
      <c r="F336" s="37" t="s">
        <v>376</v>
      </c>
      <c r="G336" s="38" t="s">
        <v>719</v>
      </c>
      <c r="H336" s="38">
        <v>4</v>
      </c>
      <c r="I336" s="38" t="s">
        <v>631</v>
      </c>
      <c r="J336" s="38" t="s">
        <v>631</v>
      </c>
      <c r="K336" s="38" t="s">
        <v>363</v>
      </c>
      <c r="L336" s="38"/>
      <c r="M336" s="39">
        <v>46049</v>
      </c>
      <c r="N336" s="38" t="s">
        <v>842</v>
      </c>
      <c r="O336" s="38" t="s">
        <v>390</v>
      </c>
      <c r="P336" s="38" t="s">
        <v>842</v>
      </c>
      <c r="Q336" s="38" t="s">
        <v>1560</v>
      </c>
      <c r="R336" s="38"/>
      <c r="S336" s="38" t="s">
        <v>363</v>
      </c>
    </row>
    <row r="337" spans="1:19" ht="39.6" hidden="1" customHeight="1" x14ac:dyDescent="0.3">
      <c r="A337" s="47">
        <v>1013668398</v>
      </c>
      <c r="B337" s="49">
        <v>46020</v>
      </c>
      <c r="C337" s="36" t="s">
        <v>122</v>
      </c>
      <c r="D337" s="47">
        <v>1013668398</v>
      </c>
      <c r="E337" s="36" t="s">
        <v>382</v>
      </c>
      <c r="F337" s="37" t="s">
        <v>1136</v>
      </c>
      <c r="G337" s="36">
        <v>3197471514</v>
      </c>
      <c r="H337" s="36">
        <v>4</v>
      </c>
      <c r="I337" s="38" t="s">
        <v>631</v>
      </c>
      <c r="J337" s="38" t="s">
        <v>631</v>
      </c>
      <c r="K337" s="36" t="s">
        <v>253</v>
      </c>
      <c r="L337" s="36" t="s">
        <v>244</v>
      </c>
      <c r="M337" s="39">
        <v>46035</v>
      </c>
      <c r="N337" s="38" t="s">
        <v>842</v>
      </c>
      <c r="O337" s="38" t="s">
        <v>380</v>
      </c>
      <c r="P337" s="38" t="s">
        <v>842</v>
      </c>
      <c r="Q337" s="38" t="s">
        <v>1559</v>
      </c>
      <c r="R337" s="38"/>
      <c r="S337" s="38" t="s">
        <v>253</v>
      </c>
    </row>
    <row r="338" spans="1:19" ht="39.6" customHeight="1" x14ac:dyDescent="0.2">
      <c r="A338" s="47">
        <v>1013682451</v>
      </c>
      <c r="B338" s="48">
        <v>46032</v>
      </c>
      <c r="C338" s="36" t="s">
        <v>775</v>
      </c>
      <c r="D338" s="47">
        <v>1013682451</v>
      </c>
      <c r="E338" s="36" t="s">
        <v>101</v>
      </c>
      <c r="F338" s="37" t="s">
        <v>776</v>
      </c>
      <c r="G338" s="36">
        <v>3145670015</v>
      </c>
      <c r="H338" s="52">
        <v>4</v>
      </c>
      <c r="I338" s="38" t="s">
        <v>631</v>
      </c>
      <c r="J338" s="38" t="s">
        <v>631</v>
      </c>
      <c r="K338" s="52" t="s">
        <v>864</v>
      </c>
      <c r="L338" s="52"/>
      <c r="M338" s="39">
        <v>46059</v>
      </c>
      <c r="N338" s="38" t="s">
        <v>842</v>
      </c>
      <c r="O338" s="38" t="s">
        <v>390</v>
      </c>
      <c r="P338" s="38" t="s">
        <v>843</v>
      </c>
      <c r="Q338" s="38" t="s">
        <v>1561</v>
      </c>
      <c r="R338" s="38"/>
      <c r="S338" s="38"/>
    </row>
    <row r="339" spans="1:19" ht="52.8" customHeight="1" x14ac:dyDescent="0.2">
      <c r="A339" s="47">
        <v>1013683058</v>
      </c>
      <c r="B339" s="48">
        <v>46045</v>
      </c>
      <c r="C339" s="36" t="s">
        <v>777</v>
      </c>
      <c r="D339" s="47">
        <v>1013683058</v>
      </c>
      <c r="E339" s="36" t="s">
        <v>349</v>
      </c>
      <c r="F339" s="37" t="s">
        <v>778</v>
      </c>
      <c r="G339" s="36">
        <v>3219263614</v>
      </c>
      <c r="H339" s="52">
        <v>4</v>
      </c>
      <c r="I339" s="38" t="s">
        <v>631</v>
      </c>
      <c r="J339" s="38" t="s">
        <v>631</v>
      </c>
      <c r="K339" s="52" t="s">
        <v>833</v>
      </c>
      <c r="L339" s="52"/>
      <c r="M339" s="39">
        <v>46062</v>
      </c>
      <c r="N339" s="38" t="s">
        <v>842</v>
      </c>
      <c r="O339" s="38" t="s">
        <v>390</v>
      </c>
      <c r="P339" s="38" t="s">
        <v>843</v>
      </c>
      <c r="Q339" s="38" t="s">
        <v>1561</v>
      </c>
      <c r="R339" s="38"/>
      <c r="S339" s="38" t="s">
        <v>833</v>
      </c>
    </row>
    <row r="340" spans="1:19" ht="39.6" hidden="1" customHeight="1" x14ac:dyDescent="0.3">
      <c r="A340" s="47">
        <v>1014189907</v>
      </c>
      <c r="B340" s="39">
        <v>46038</v>
      </c>
      <c r="C340" s="36" t="s">
        <v>361</v>
      </c>
      <c r="D340" s="47">
        <v>1014189907</v>
      </c>
      <c r="E340" s="36" t="s">
        <v>389</v>
      </c>
      <c r="F340" s="37" t="s">
        <v>370</v>
      </c>
      <c r="G340" s="38">
        <v>3025915057</v>
      </c>
      <c r="H340" s="38">
        <v>1</v>
      </c>
      <c r="I340" s="38" t="s">
        <v>631</v>
      </c>
      <c r="J340" s="38" t="s">
        <v>631</v>
      </c>
      <c r="K340" s="38" t="s">
        <v>363</v>
      </c>
      <c r="L340" s="38"/>
      <c r="M340" s="39">
        <v>46049</v>
      </c>
      <c r="N340" s="38" t="s">
        <v>842</v>
      </c>
      <c r="O340" s="38" t="s">
        <v>390</v>
      </c>
      <c r="P340" s="38" t="s">
        <v>842</v>
      </c>
      <c r="Q340" s="38" t="s">
        <v>1559</v>
      </c>
      <c r="R340" s="38"/>
      <c r="S340" s="38" t="s">
        <v>363</v>
      </c>
    </row>
    <row r="341" spans="1:19" ht="39.6" customHeight="1" x14ac:dyDescent="0.2">
      <c r="A341" s="47">
        <v>1014210909</v>
      </c>
      <c r="B341" s="48">
        <v>46045</v>
      </c>
      <c r="C341" s="36" t="s">
        <v>779</v>
      </c>
      <c r="D341" s="47">
        <v>1014210909</v>
      </c>
      <c r="E341" s="36" t="s">
        <v>349</v>
      </c>
      <c r="F341" s="37" t="s">
        <v>780</v>
      </c>
      <c r="G341" s="36">
        <v>3007712462</v>
      </c>
      <c r="H341" s="52">
        <v>4</v>
      </c>
      <c r="I341" s="38" t="s">
        <v>631</v>
      </c>
      <c r="J341" s="38" t="s">
        <v>631</v>
      </c>
      <c r="K341" s="52" t="s">
        <v>835</v>
      </c>
      <c r="L341" s="52"/>
      <c r="M341" s="39">
        <v>46062</v>
      </c>
      <c r="N341" s="38" t="s">
        <v>842</v>
      </c>
      <c r="O341" s="38" t="s">
        <v>390</v>
      </c>
      <c r="P341" s="38" t="s">
        <v>843</v>
      </c>
      <c r="Q341" s="38" t="s">
        <v>1560</v>
      </c>
      <c r="R341" s="38"/>
      <c r="S341" s="38" t="s">
        <v>835</v>
      </c>
    </row>
    <row r="342" spans="1:19" ht="39.6" customHeight="1" x14ac:dyDescent="0.2">
      <c r="A342" s="47">
        <v>1014279405</v>
      </c>
      <c r="B342" s="48">
        <v>46050</v>
      </c>
      <c r="C342" s="36" t="s">
        <v>781</v>
      </c>
      <c r="D342" s="47">
        <v>1014279405</v>
      </c>
      <c r="E342" s="36" t="s">
        <v>349</v>
      </c>
      <c r="F342" s="37" t="s">
        <v>782</v>
      </c>
      <c r="G342" s="36">
        <v>3193346258</v>
      </c>
      <c r="H342" s="52">
        <v>4</v>
      </c>
      <c r="I342" s="38" t="s">
        <v>631</v>
      </c>
      <c r="J342" s="38" t="s">
        <v>631</v>
      </c>
      <c r="K342" s="52"/>
      <c r="L342" s="52" t="s">
        <v>836</v>
      </c>
      <c r="M342" s="39">
        <v>46062</v>
      </c>
      <c r="N342" s="38" t="s">
        <v>843</v>
      </c>
      <c r="O342" s="38" t="s">
        <v>390</v>
      </c>
      <c r="P342" s="38" t="s">
        <v>843</v>
      </c>
      <c r="Q342" s="38" t="s">
        <v>1558</v>
      </c>
      <c r="R342" s="38"/>
      <c r="S342" s="38"/>
    </row>
    <row r="343" spans="1:19" ht="39.6" customHeight="1" x14ac:dyDescent="0.3">
      <c r="A343" s="47">
        <v>1014296382</v>
      </c>
      <c r="B343" s="39">
        <v>46038</v>
      </c>
      <c r="C343" s="36" t="s">
        <v>575</v>
      </c>
      <c r="D343" s="47">
        <v>1014296382</v>
      </c>
      <c r="E343" s="36" t="s">
        <v>349</v>
      </c>
      <c r="F343" s="37" t="s">
        <v>486</v>
      </c>
      <c r="G343" s="38" t="s">
        <v>487</v>
      </c>
      <c r="H343" s="38">
        <v>2</v>
      </c>
      <c r="I343" s="38" t="s">
        <v>631</v>
      </c>
      <c r="J343" s="38" t="s">
        <v>631</v>
      </c>
      <c r="K343" s="38" t="s">
        <v>469</v>
      </c>
      <c r="L343" s="38"/>
      <c r="M343" s="39">
        <v>46049</v>
      </c>
      <c r="N343" s="38" t="s">
        <v>842</v>
      </c>
      <c r="O343" s="38" t="s">
        <v>390</v>
      </c>
      <c r="P343" s="38" t="s">
        <v>843</v>
      </c>
      <c r="Q343" s="38" t="s">
        <v>1560</v>
      </c>
      <c r="R343" s="38"/>
      <c r="S343" s="38" t="s">
        <v>469</v>
      </c>
    </row>
    <row r="344" spans="1:19" ht="39.6" customHeight="1" x14ac:dyDescent="0.3">
      <c r="A344" s="47">
        <v>1014299014</v>
      </c>
      <c r="B344" s="39">
        <v>46118</v>
      </c>
      <c r="C344" s="36" t="s">
        <v>1527</v>
      </c>
      <c r="D344" s="47">
        <v>1014299014</v>
      </c>
      <c r="E344" s="38" t="s">
        <v>101</v>
      </c>
      <c r="F344" s="37" t="s">
        <v>320</v>
      </c>
      <c r="G344" s="38" t="s">
        <v>321</v>
      </c>
      <c r="H344" s="38">
        <v>4</v>
      </c>
      <c r="I344" s="38" t="s">
        <v>631</v>
      </c>
      <c r="J344" s="38" t="s">
        <v>631</v>
      </c>
      <c r="K344" s="38" t="s">
        <v>1525</v>
      </c>
      <c r="L344" s="38"/>
      <c r="M344" s="39">
        <v>46039</v>
      </c>
      <c r="N344" s="38" t="s">
        <v>842</v>
      </c>
      <c r="O344" s="38" t="s">
        <v>390</v>
      </c>
      <c r="P344" s="38" t="s">
        <v>843</v>
      </c>
      <c r="Q344" s="38" t="s">
        <v>1558</v>
      </c>
      <c r="R344" s="38"/>
      <c r="S344" s="38"/>
    </row>
    <row r="345" spans="1:19" ht="39.6" customHeight="1" x14ac:dyDescent="0.3">
      <c r="A345" s="47">
        <v>1015393860</v>
      </c>
      <c r="B345" s="51">
        <v>46032</v>
      </c>
      <c r="C345" s="36" t="s">
        <v>336</v>
      </c>
      <c r="D345" s="47">
        <v>1015393860</v>
      </c>
      <c r="E345" s="36" t="s">
        <v>349</v>
      </c>
      <c r="F345" s="37" t="s">
        <v>337</v>
      </c>
      <c r="G345" s="38">
        <v>3176984631</v>
      </c>
      <c r="H345" s="38">
        <v>4</v>
      </c>
      <c r="I345" s="38" t="s">
        <v>631</v>
      </c>
      <c r="J345" s="38" t="s">
        <v>631</v>
      </c>
      <c r="K345" s="38" t="s">
        <v>407</v>
      </c>
      <c r="L345" s="38" t="s">
        <v>271</v>
      </c>
      <c r="M345" s="39">
        <v>46039</v>
      </c>
      <c r="N345" s="38" t="s">
        <v>842</v>
      </c>
      <c r="O345" s="38" t="s">
        <v>390</v>
      </c>
      <c r="P345" s="38" t="s">
        <v>843</v>
      </c>
      <c r="Q345" s="38" t="s">
        <v>1560</v>
      </c>
      <c r="R345" s="38"/>
      <c r="S345" s="38" t="s">
        <v>407</v>
      </c>
    </row>
    <row r="346" spans="1:19" ht="39.6" customHeight="1" x14ac:dyDescent="0.3">
      <c r="A346" s="47">
        <v>1015414016</v>
      </c>
      <c r="B346" s="39">
        <v>46041</v>
      </c>
      <c r="C346" s="36" t="s">
        <v>435</v>
      </c>
      <c r="D346" s="47">
        <v>1015414016</v>
      </c>
      <c r="E346" s="36" t="s">
        <v>349</v>
      </c>
      <c r="F346" s="37" t="s">
        <v>436</v>
      </c>
      <c r="G346" s="38">
        <v>3157261783</v>
      </c>
      <c r="H346" s="38">
        <v>4</v>
      </c>
      <c r="I346" s="38" t="s">
        <v>631</v>
      </c>
      <c r="J346" s="38" t="s">
        <v>631</v>
      </c>
      <c r="K346" s="38" t="s">
        <v>407</v>
      </c>
      <c r="L346" s="38"/>
      <c r="M346" s="39">
        <v>46049</v>
      </c>
      <c r="N346" s="38" t="s">
        <v>842</v>
      </c>
      <c r="O346" s="38" t="s">
        <v>390</v>
      </c>
      <c r="P346" s="38" t="s">
        <v>843</v>
      </c>
      <c r="Q346" s="38" t="s">
        <v>1560</v>
      </c>
      <c r="R346" s="38"/>
      <c r="S346" s="38" t="s">
        <v>407</v>
      </c>
    </row>
    <row r="347" spans="1:19" ht="39.6" customHeight="1" x14ac:dyDescent="0.3">
      <c r="A347" s="47">
        <v>1015433674</v>
      </c>
      <c r="B347" s="39">
        <v>46041</v>
      </c>
      <c r="C347" s="36" t="s">
        <v>527</v>
      </c>
      <c r="D347" s="47">
        <v>1015433674</v>
      </c>
      <c r="E347" s="36" t="s">
        <v>101</v>
      </c>
      <c r="F347" s="37" t="s">
        <v>528</v>
      </c>
      <c r="G347" s="38" t="s">
        <v>529</v>
      </c>
      <c r="H347" s="38">
        <v>3</v>
      </c>
      <c r="I347" s="38" t="s">
        <v>679</v>
      </c>
      <c r="J347" s="38" t="s">
        <v>680</v>
      </c>
      <c r="K347" s="38" t="s">
        <v>509</v>
      </c>
      <c r="L347" s="39"/>
      <c r="M347" s="39">
        <v>46049</v>
      </c>
      <c r="N347" s="38" t="s">
        <v>842</v>
      </c>
      <c r="O347" s="38" t="s">
        <v>390</v>
      </c>
      <c r="P347" s="38" t="s">
        <v>842</v>
      </c>
      <c r="Q347" s="38" t="s">
        <v>1559</v>
      </c>
      <c r="R347" s="38"/>
      <c r="S347" s="38" t="s">
        <v>509</v>
      </c>
    </row>
    <row r="348" spans="1:19" ht="52.8" customHeight="1" x14ac:dyDescent="0.3">
      <c r="A348" s="47">
        <v>1015475003</v>
      </c>
      <c r="B348" s="39">
        <v>46066</v>
      </c>
      <c r="C348" s="36" t="s">
        <v>1174</v>
      </c>
      <c r="D348" s="47">
        <v>1015475003</v>
      </c>
      <c r="E348" s="38" t="s">
        <v>349</v>
      </c>
      <c r="F348" s="37" t="s">
        <v>1175</v>
      </c>
      <c r="G348" s="38" t="s">
        <v>1176</v>
      </c>
      <c r="H348" s="38">
        <v>2</v>
      </c>
      <c r="I348" s="38" t="s">
        <v>631</v>
      </c>
      <c r="J348" s="38" t="s">
        <v>631</v>
      </c>
      <c r="K348" s="38" t="s">
        <v>1152</v>
      </c>
      <c r="L348" s="38"/>
      <c r="M348" s="39">
        <v>46076</v>
      </c>
      <c r="N348" s="38" t="s">
        <v>842</v>
      </c>
      <c r="O348" s="38" t="s">
        <v>390</v>
      </c>
      <c r="P348" s="38" t="s">
        <v>1555</v>
      </c>
      <c r="Q348" s="38" t="s">
        <v>1561</v>
      </c>
      <c r="R348" s="38"/>
      <c r="S348" s="38"/>
    </row>
    <row r="349" spans="1:19" ht="39.6" customHeight="1" x14ac:dyDescent="0.3">
      <c r="A349" s="47">
        <v>1016015211</v>
      </c>
      <c r="B349" s="39">
        <v>46066</v>
      </c>
      <c r="C349" s="36" t="s">
        <v>1179</v>
      </c>
      <c r="D349" s="47">
        <v>1016015211</v>
      </c>
      <c r="E349" s="38" t="s">
        <v>349</v>
      </c>
      <c r="F349" s="37" t="s">
        <v>1180</v>
      </c>
      <c r="G349" s="38">
        <v>3042130653</v>
      </c>
      <c r="H349" s="38">
        <v>4</v>
      </c>
      <c r="I349" s="38" t="s">
        <v>631</v>
      </c>
      <c r="J349" s="38" t="s">
        <v>631</v>
      </c>
      <c r="K349" s="38" t="s">
        <v>1152</v>
      </c>
      <c r="L349" s="38"/>
      <c r="M349" s="39">
        <v>46076</v>
      </c>
      <c r="N349" s="38" t="s">
        <v>842</v>
      </c>
      <c r="O349" s="38" t="s">
        <v>390</v>
      </c>
      <c r="P349" s="38" t="s">
        <v>1555</v>
      </c>
      <c r="Q349" s="38" t="s">
        <v>1561</v>
      </c>
      <c r="R349" s="38"/>
      <c r="S349" s="38"/>
    </row>
    <row r="350" spans="1:19" ht="39.6" customHeight="1" x14ac:dyDescent="0.3">
      <c r="A350" s="47">
        <v>1016075085</v>
      </c>
      <c r="B350" s="39">
        <v>46062</v>
      </c>
      <c r="C350" s="36" t="s">
        <v>1114</v>
      </c>
      <c r="D350" s="47">
        <v>1016075085</v>
      </c>
      <c r="E350" s="38" t="s">
        <v>349</v>
      </c>
      <c r="F350" s="37" t="s">
        <v>1115</v>
      </c>
      <c r="G350" s="38">
        <v>3188759288</v>
      </c>
      <c r="H350" s="38">
        <v>4</v>
      </c>
      <c r="I350" s="38" t="s">
        <v>631</v>
      </c>
      <c r="J350" s="38" t="s">
        <v>631</v>
      </c>
      <c r="K350" s="38"/>
      <c r="L350" s="38" t="s">
        <v>1106</v>
      </c>
      <c r="M350" s="39">
        <v>46069</v>
      </c>
      <c r="N350" s="38" t="s">
        <v>843</v>
      </c>
      <c r="O350" s="38" t="s">
        <v>390</v>
      </c>
      <c r="P350" s="38" t="s">
        <v>843</v>
      </c>
      <c r="Q350" s="38" t="s">
        <v>1558</v>
      </c>
      <c r="R350" s="38"/>
      <c r="S350" s="38"/>
    </row>
    <row r="351" spans="1:19" ht="39.6" customHeight="1" x14ac:dyDescent="0.3">
      <c r="A351" s="47">
        <v>1016090195</v>
      </c>
      <c r="B351" s="39">
        <v>46125</v>
      </c>
      <c r="C351" s="36" t="s">
        <v>1613</v>
      </c>
      <c r="D351" s="47">
        <v>1016090195</v>
      </c>
      <c r="E351" s="38" t="s">
        <v>349</v>
      </c>
      <c r="F351" s="37" t="s">
        <v>1623</v>
      </c>
      <c r="G351" s="38">
        <v>3043972954</v>
      </c>
      <c r="H351" s="38">
        <v>4</v>
      </c>
      <c r="I351" s="38" t="s">
        <v>631</v>
      </c>
      <c r="J351" s="38" t="s">
        <v>1629</v>
      </c>
      <c r="K351" s="38" t="s">
        <v>1615</v>
      </c>
      <c r="L351" s="38"/>
      <c r="M351" s="39"/>
      <c r="N351" s="38" t="s">
        <v>842</v>
      </c>
      <c r="O351" s="38" t="s">
        <v>390</v>
      </c>
      <c r="P351" s="38" t="s">
        <v>843</v>
      </c>
      <c r="Q351" s="38"/>
      <c r="R351" s="38"/>
      <c r="S351" s="38"/>
    </row>
    <row r="352" spans="1:19" ht="52.8" customHeight="1" x14ac:dyDescent="0.3">
      <c r="A352" s="47">
        <v>1017124166</v>
      </c>
      <c r="B352" s="50">
        <v>46029</v>
      </c>
      <c r="C352" s="36" t="s">
        <v>39</v>
      </c>
      <c r="D352" s="47">
        <v>1017124166</v>
      </c>
      <c r="E352" s="36" t="s">
        <v>101</v>
      </c>
      <c r="F352" s="37" t="s">
        <v>40</v>
      </c>
      <c r="G352" s="36">
        <v>3116738957</v>
      </c>
      <c r="H352" s="36">
        <v>5</v>
      </c>
      <c r="I352" s="38" t="s">
        <v>657</v>
      </c>
      <c r="J352" s="38" t="s">
        <v>980</v>
      </c>
      <c r="K352" s="36" t="s">
        <v>258</v>
      </c>
      <c r="L352" s="36"/>
      <c r="M352" s="39">
        <v>46035</v>
      </c>
      <c r="N352" s="38" t="s">
        <v>842</v>
      </c>
      <c r="O352" s="38" t="s">
        <v>390</v>
      </c>
      <c r="P352" s="38" t="s">
        <v>842</v>
      </c>
      <c r="Q352" s="38" t="s">
        <v>1559</v>
      </c>
      <c r="R352" s="38"/>
      <c r="S352" s="38" t="s">
        <v>258</v>
      </c>
    </row>
    <row r="353" spans="1:19" ht="52.8" customHeight="1" x14ac:dyDescent="0.3">
      <c r="A353" s="47">
        <v>1018406095</v>
      </c>
      <c r="B353" s="39">
        <v>46062</v>
      </c>
      <c r="C353" s="36" t="s">
        <v>1099</v>
      </c>
      <c r="D353" s="47">
        <v>1018406095</v>
      </c>
      <c r="E353" s="38" t="s">
        <v>349</v>
      </c>
      <c r="F353" s="37" t="s">
        <v>1100</v>
      </c>
      <c r="G353" s="38">
        <v>3113686948</v>
      </c>
      <c r="H353" s="38">
        <v>4</v>
      </c>
      <c r="I353" s="38" t="s">
        <v>631</v>
      </c>
      <c r="J353" s="38" t="s">
        <v>631</v>
      </c>
      <c r="K353" s="38" t="s">
        <v>1064</v>
      </c>
      <c r="L353" s="38"/>
      <c r="M353" s="39">
        <v>46072</v>
      </c>
      <c r="N353" s="38" t="s">
        <v>842</v>
      </c>
      <c r="O353" s="38" t="s">
        <v>390</v>
      </c>
      <c r="P353" s="38" t="s">
        <v>843</v>
      </c>
      <c r="Q353" s="38" t="s">
        <v>1561</v>
      </c>
      <c r="R353" s="38"/>
      <c r="S353" s="38"/>
    </row>
    <row r="354" spans="1:19" ht="39.6" customHeight="1" x14ac:dyDescent="0.3">
      <c r="A354" s="47">
        <v>1018417285</v>
      </c>
      <c r="B354" s="50">
        <v>46029</v>
      </c>
      <c r="C354" s="36" t="s">
        <v>41</v>
      </c>
      <c r="D354" s="47">
        <v>1018417285</v>
      </c>
      <c r="E354" s="36" t="s">
        <v>101</v>
      </c>
      <c r="F354" s="37" t="s">
        <v>42</v>
      </c>
      <c r="G354" s="36" t="s">
        <v>43</v>
      </c>
      <c r="H354" s="36">
        <v>5</v>
      </c>
      <c r="I354" s="38" t="s">
        <v>650</v>
      </c>
      <c r="J354" s="38" t="s">
        <v>651</v>
      </c>
      <c r="K354" s="36" t="s">
        <v>258</v>
      </c>
      <c r="L354" s="36"/>
      <c r="M354" s="39">
        <v>46039</v>
      </c>
      <c r="N354" s="38" t="s">
        <v>842</v>
      </c>
      <c r="O354" s="38" t="s">
        <v>390</v>
      </c>
      <c r="P354" s="38" t="s">
        <v>842</v>
      </c>
      <c r="Q354" s="38" t="s">
        <v>1559</v>
      </c>
      <c r="R354" s="38"/>
      <c r="S354" s="38" t="s">
        <v>258</v>
      </c>
    </row>
    <row r="355" spans="1:19" ht="39.6" customHeight="1" x14ac:dyDescent="0.2">
      <c r="A355" s="47">
        <v>1018428613</v>
      </c>
      <c r="B355" s="48">
        <v>46045</v>
      </c>
      <c r="C355" s="36" t="s">
        <v>783</v>
      </c>
      <c r="D355" s="47">
        <v>1018428613</v>
      </c>
      <c r="E355" s="36" t="s">
        <v>349</v>
      </c>
      <c r="F355" s="37" t="s">
        <v>784</v>
      </c>
      <c r="G355" s="36">
        <v>3108198105</v>
      </c>
      <c r="H355" s="52">
        <v>2</v>
      </c>
      <c r="I355" s="38" t="s">
        <v>631</v>
      </c>
      <c r="J355" s="38" t="s">
        <v>631</v>
      </c>
      <c r="K355" s="52" t="s">
        <v>833</v>
      </c>
      <c r="L355" s="52"/>
      <c r="M355" s="39">
        <v>46062</v>
      </c>
      <c r="N355" s="38" t="s">
        <v>842</v>
      </c>
      <c r="O355" s="38" t="s">
        <v>390</v>
      </c>
      <c r="P355" s="38" t="s">
        <v>843</v>
      </c>
      <c r="Q355" s="38" t="s">
        <v>1561</v>
      </c>
      <c r="R355" s="38"/>
      <c r="S355" s="38" t="s">
        <v>833</v>
      </c>
    </row>
    <row r="356" spans="1:19" ht="39.6" hidden="1" customHeight="1" x14ac:dyDescent="0.2">
      <c r="A356" s="47">
        <v>1018435338</v>
      </c>
      <c r="B356" s="39">
        <v>46050</v>
      </c>
      <c r="C356" s="36" t="s">
        <v>845</v>
      </c>
      <c r="D356" s="47">
        <v>1018435338</v>
      </c>
      <c r="E356" s="38" t="s">
        <v>389</v>
      </c>
      <c r="F356" s="37" t="s">
        <v>856</v>
      </c>
      <c r="G356" s="44">
        <v>3168704429</v>
      </c>
      <c r="H356" s="38">
        <v>4</v>
      </c>
      <c r="I356" s="38" t="s">
        <v>631</v>
      </c>
      <c r="J356" s="38" t="s">
        <v>631</v>
      </c>
      <c r="K356" s="38" t="s">
        <v>854</v>
      </c>
      <c r="L356" s="38"/>
      <c r="M356" s="39">
        <v>46062</v>
      </c>
      <c r="N356" s="38" t="s">
        <v>842</v>
      </c>
      <c r="O356" s="38" t="s">
        <v>390</v>
      </c>
      <c r="P356" s="38" t="s">
        <v>842</v>
      </c>
      <c r="Q356" s="38" t="s">
        <v>1560</v>
      </c>
      <c r="R356" s="38"/>
      <c r="S356" s="38"/>
    </row>
    <row r="357" spans="1:19" ht="39.6" customHeight="1" x14ac:dyDescent="0.3">
      <c r="A357" s="47">
        <v>1018454975</v>
      </c>
      <c r="B357" s="39">
        <v>46041</v>
      </c>
      <c r="C357" s="36" t="s">
        <v>586</v>
      </c>
      <c r="D357" s="47">
        <v>1018454975</v>
      </c>
      <c r="E357" s="36" t="s">
        <v>349</v>
      </c>
      <c r="F357" s="37" t="s">
        <v>400</v>
      </c>
      <c r="G357" s="38">
        <v>3508569237</v>
      </c>
      <c r="H357" s="38">
        <v>4</v>
      </c>
      <c r="I357" s="38" t="s">
        <v>631</v>
      </c>
      <c r="J357" s="38" t="s">
        <v>631</v>
      </c>
      <c r="K357" s="42"/>
      <c r="L357" s="38" t="s">
        <v>397</v>
      </c>
      <c r="M357" s="39">
        <v>46049</v>
      </c>
      <c r="N357" s="38" t="s">
        <v>843</v>
      </c>
      <c r="O357" s="38" t="s">
        <v>390</v>
      </c>
      <c r="P357" s="38" t="s">
        <v>843</v>
      </c>
      <c r="Q357" s="38" t="s">
        <v>1558</v>
      </c>
      <c r="R357" s="38"/>
      <c r="S357" s="38"/>
    </row>
    <row r="358" spans="1:19" ht="39.6" hidden="1" customHeight="1" x14ac:dyDescent="0.3">
      <c r="A358" s="47">
        <v>1018463353</v>
      </c>
      <c r="B358" s="39">
        <v>46133</v>
      </c>
      <c r="C358" s="36" t="s">
        <v>1676</v>
      </c>
      <c r="D358" s="47">
        <v>1018463353</v>
      </c>
      <c r="E358" s="36" t="s">
        <v>383</v>
      </c>
      <c r="F358" s="37" t="s">
        <v>1683</v>
      </c>
      <c r="G358" s="38">
        <v>3134044195</v>
      </c>
      <c r="H358" s="38">
        <v>4</v>
      </c>
      <c r="I358" s="38" t="s">
        <v>631</v>
      </c>
      <c r="J358" s="38" t="s">
        <v>631</v>
      </c>
      <c r="K358" s="38" t="s">
        <v>1686</v>
      </c>
      <c r="L358" s="38"/>
      <c r="M358" s="39"/>
      <c r="N358" s="38" t="s">
        <v>842</v>
      </c>
      <c r="O358" s="38" t="s">
        <v>380</v>
      </c>
      <c r="P358" s="38" t="s">
        <v>843</v>
      </c>
      <c r="Q358" s="38"/>
      <c r="R358" s="38"/>
      <c r="S358" s="38"/>
    </row>
    <row r="359" spans="1:19" ht="39.6" customHeight="1" x14ac:dyDescent="0.3">
      <c r="A359" s="47">
        <v>1018478509</v>
      </c>
      <c r="B359" s="39">
        <v>46038</v>
      </c>
      <c r="C359" s="36" t="s">
        <v>358</v>
      </c>
      <c r="D359" s="47">
        <v>1018478509</v>
      </c>
      <c r="E359" s="36" t="s">
        <v>349</v>
      </c>
      <c r="F359" s="37" t="s">
        <v>377</v>
      </c>
      <c r="G359" s="38" t="s">
        <v>718</v>
      </c>
      <c r="H359" s="38">
        <v>4</v>
      </c>
      <c r="I359" s="38" t="s">
        <v>631</v>
      </c>
      <c r="J359" s="38" t="s">
        <v>631</v>
      </c>
      <c r="K359" s="38" t="s">
        <v>363</v>
      </c>
      <c r="L359" s="38"/>
      <c r="M359" s="39">
        <v>46049</v>
      </c>
      <c r="N359" s="38" t="s">
        <v>842</v>
      </c>
      <c r="O359" s="38" t="s">
        <v>390</v>
      </c>
      <c r="P359" s="38" t="s">
        <v>842</v>
      </c>
      <c r="Q359" s="38" t="s">
        <v>1559</v>
      </c>
      <c r="R359" s="38"/>
      <c r="S359" s="38" t="s">
        <v>363</v>
      </c>
    </row>
    <row r="360" spans="1:19" ht="39.6" customHeight="1" x14ac:dyDescent="0.3">
      <c r="A360" s="47">
        <v>1018501051</v>
      </c>
      <c r="B360" s="49">
        <v>46020</v>
      </c>
      <c r="C360" s="36" t="s">
        <v>104</v>
      </c>
      <c r="D360" s="47">
        <v>1018501051</v>
      </c>
      <c r="E360" s="36" t="s">
        <v>101</v>
      </c>
      <c r="F360" s="37" t="s">
        <v>105</v>
      </c>
      <c r="G360" s="36">
        <v>3203207992</v>
      </c>
      <c r="H360" s="36">
        <v>4</v>
      </c>
      <c r="I360" s="38" t="s">
        <v>631</v>
      </c>
      <c r="J360" s="38" t="s">
        <v>631</v>
      </c>
      <c r="K360" s="36" t="s">
        <v>245</v>
      </c>
      <c r="L360" s="36"/>
      <c r="M360" s="39">
        <v>46035</v>
      </c>
      <c r="N360" s="38" t="s">
        <v>842</v>
      </c>
      <c r="O360" s="38" t="s">
        <v>390</v>
      </c>
      <c r="P360" s="38" t="s">
        <v>842</v>
      </c>
      <c r="Q360" s="38" t="s">
        <v>1559</v>
      </c>
      <c r="R360" s="38"/>
      <c r="S360" s="38" t="s">
        <v>245</v>
      </c>
    </row>
    <row r="361" spans="1:19" ht="39.6" customHeight="1" x14ac:dyDescent="0.3">
      <c r="A361" s="47">
        <v>1019022042</v>
      </c>
      <c r="B361" s="39">
        <v>46056</v>
      </c>
      <c r="C361" s="36" t="s">
        <v>929</v>
      </c>
      <c r="D361" s="47">
        <v>1019022042</v>
      </c>
      <c r="E361" s="38" t="s">
        <v>349</v>
      </c>
      <c r="F361" s="37" t="s">
        <v>931</v>
      </c>
      <c r="G361" s="38" t="s">
        <v>932</v>
      </c>
      <c r="H361" s="38">
        <v>4</v>
      </c>
      <c r="I361" s="38" t="s">
        <v>631</v>
      </c>
      <c r="J361" s="38" t="s">
        <v>631</v>
      </c>
      <c r="K361" s="38" t="s">
        <v>933</v>
      </c>
      <c r="L361" s="38"/>
      <c r="M361" s="39">
        <v>46063</v>
      </c>
      <c r="N361" s="38" t="s">
        <v>842</v>
      </c>
      <c r="O361" s="38" t="s">
        <v>390</v>
      </c>
      <c r="P361" s="38" t="s">
        <v>843</v>
      </c>
      <c r="Q361" s="38" t="s">
        <v>1561</v>
      </c>
      <c r="R361" s="38"/>
      <c r="S361" s="38"/>
    </row>
    <row r="362" spans="1:19" ht="39.6" customHeight="1" x14ac:dyDescent="0.3">
      <c r="A362" s="47">
        <v>1019063985</v>
      </c>
      <c r="B362" s="39">
        <v>46106</v>
      </c>
      <c r="C362" s="36" t="s">
        <v>1495</v>
      </c>
      <c r="D362" s="47">
        <v>1019063985</v>
      </c>
      <c r="E362" s="38" t="s">
        <v>101</v>
      </c>
      <c r="F362" s="37" t="s">
        <v>1507</v>
      </c>
      <c r="G362" s="38" t="s">
        <v>1515</v>
      </c>
      <c r="H362" s="38">
        <v>4</v>
      </c>
      <c r="I362" s="38" t="s">
        <v>707</v>
      </c>
      <c r="J362" s="38" t="s">
        <v>1520</v>
      </c>
      <c r="K362" s="38" t="s">
        <v>1523</v>
      </c>
      <c r="L362" s="38"/>
      <c r="M362" s="39"/>
      <c r="N362" s="38" t="s">
        <v>842</v>
      </c>
      <c r="O362" s="38" t="s">
        <v>390</v>
      </c>
      <c r="P362" s="38" t="s">
        <v>843</v>
      </c>
      <c r="Q362" s="38"/>
      <c r="R362" s="38"/>
      <c r="S362" s="38"/>
    </row>
    <row r="363" spans="1:19" ht="39.6" customHeight="1" x14ac:dyDescent="0.3">
      <c r="A363" s="47">
        <v>1019089483</v>
      </c>
      <c r="B363" s="39">
        <v>46032</v>
      </c>
      <c r="C363" s="36" t="s">
        <v>546</v>
      </c>
      <c r="D363" s="47">
        <v>1019089483</v>
      </c>
      <c r="E363" s="36" t="s">
        <v>349</v>
      </c>
      <c r="F363" s="37" t="s">
        <v>456</v>
      </c>
      <c r="G363" s="38">
        <v>3114935693</v>
      </c>
      <c r="H363" s="38">
        <v>4</v>
      </c>
      <c r="I363" s="38" t="s">
        <v>631</v>
      </c>
      <c r="J363" s="38" t="s">
        <v>631</v>
      </c>
      <c r="K363" s="38" t="s">
        <v>448</v>
      </c>
      <c r="L363" s="39"/>
      <c r="M363" s="39">
        <v>46039</v>
      </c>
      <c r="N363" s="38" t="s">
        <v>842</v>
      </c>
      <c r="O363" s="38" t="s">
        <v>390</v>
      </c>
      <c r="P363" s="38" t="s">
        <v>843</v>
      </c>
      <c r="Q363" s="38" t="s">
        <v>1560</v>
      </c>
      <c r="R363" s="38"/>
      <c r="S363" s="38" t="s">
        <v>448</v>
      </c>
    </row>
    <row r="364" spans="1:19" ht="19.2" x14ac:dyDescent="0.3">
      <c r="A364" s="47">
        <v>1019090994</v>
      </c>
      <c r="B364" s="39">
        <v>46056</v>
      </c>
      <c r="C364" s="50" t="s">
        <v>918</v>
      </c>
      <c r="D364" s="47">
        <v>1019090994</v>
      </c>
      <c r="E364" s="38" t="s">
        <v>349</v>
      </c>
      <c r="F364" s="37" t="s">
        <v>919</v>
      </c>
      <c r="G364" s="38">
        <v>3185535655</v>
      </c>
      <c r="H364" s="38">
        <v>4</v>
      </c>
      <c r="I364" s="38" t="s">
        <v>631</v>
      </c>
      <c r="J364" s="38" t="s">
        <v>631</v>
      </c>
      <c r="K364" s="38"/>
      <c r="L364" s="38" t="s">
        <v>920</v>
      </c>
      <c r="M364" s="39">
        <v>46063</v>
      </c>
      <c r="N364" s="38" t="s">
        <v>843</v>
      </c>
      <c r="O364" s="38" t="s">
        <v>390</v>
      </c>
      <c r="P364" s="38" t="s">
        <v>843</v>
      </c>
      <c r="Q364" s="38" t="s">
        <v>1558</v>
      </c>
      <c r="R364" s="38" t="s">
        <v>1593</v>
      </c>
      <c r="S364" s="38"/>
    </row>
    <row r="365" spans="1:19" ht="19.2" hidden="1" x14ac:dyDescent="0.3">
      <c r="A365" s="47">
        <v>1019106904</v>
      </c>
      <c r="B365" s="48">
        <v>46017</v>
      </c>
      <c r="C365" s="36" t="s">
        <v>175</v>
      </c>
      <c r="D365" s="47">
        <v>1019106904</v>
      </c>
      <c r="E365" s="36" t="s">
        <v>366</v>
      </c>
      <c r="F365" s="37" t="s">
        <v>176</v>
      </c>
      <c r="G365" s="36">
        <v>3118930476</v>
      </c>
      <c r="H365" s="36">
        <v>4</v>
      </c>
      <c r="I365" s="38" t="s">
        <v>631</v>
      </c>
      <c r="J365" s="38" t="s">
        <v>631</v>
      </c>
      <c r="K365" s="36" t="s">
        <v>242</v>
      </c>
      <c r="L365" s="36"/>
      <c r="M365" s="39">
        <v>46035</v>
      </c>
      <c r="N365" s="38" t="s">
        <v>842</v>
      </c>
      <c r="O365" s="38" t="s">
        <v>380</v>
      </c>
      <c r="P365" s="38" t="s">
        <v>842</v>
      </c>
      <c r="Q365" s="38" t="s">
        <v>1559</v>
      </c>
      <c r="R365" s="38"/>
      <c r="S365" s="38" t="s">
        <v>242</v>
      </c>
    </row>
    <row r="366" spans="1:19" ht="19.2" customHeight="1" x14ac:dyDescent="0.2">
      <c r="A366" s="47">
        <v>1019146997</v>
      </c>
      <c r="B366" s="48">
        <v>46050</v>
      </c>
      <c r="C366" s="36" t="s">
        <v>785</v>
      </c>
      <c r="D366" s="47">
        <v>1019146997</v>
      </c>
      <c r="E366" s="36" t="s">
        <v>349</v>
      </c>
      <c r="F366" s="37" t="s">
        <v>786</v>
      </c>
      <c r="G366" s="36">
        <v>3005436725</v>
      </c>
      <c r="H366" s="52">
        <v>4</v>
      </c>
      <c r="I366" s="38" t="s">
        <v>631</v>
      </c>
      <c r="J366" s="38" t="s">
        <v>631</v>
      </c>
      <c r="K366" s="52" t="s">
        <v>834</v>
      </c>
      <c r="L366" s="52"/>
      <c r="M366" s="39">
        <v>46062</v>
      </c>
      <c r="N366" s="38" t="s">
        <v>842</v>
      </c>
      <c r="O366" s="38" t="s">
        <v>390</v>
      </c>
      <c r="P366" s="38" t="s">
        <v>843</v>
      </c>
      <c r="Q366" s="38" t="s">
        <v>1560</v>
      </c>
      <c r="R366" s="38"/>
      <c r="S366" s="38" t="s">
        <v>834</v>
      </c>
    </row>
    <row r="367" spans="1:19" ht="19.2" x14ac:dyDescent="0.3">
      <c r="A367" s="47">
        <v>1020724601</v>
      </c>
      <c r="B367" s="51">
        <v>46032</v>
      </c>
      <c r="C367" s="36" t="s">
        <v>300</v>
      </c>
      <c r="D367" s="47">
        <v>1020724601</v>
      </c>
      <c r="E367" s="36" t="s">
        <v>101</v>
      </c>
      <c r="F367" s="37" t="s">
        <v>301</v>
      </c>
      <c r="G367" s="38">
        <v>3184101439</v>
      </c>
      <c r="H367" s="38">
        <v>2</v>
      </c>
      <c r="I367" s="38" t="s">
        <v>647</v>
      </c>
      <c r="J367" s="38" t="s">
        <v>981</v>
      </c>
      <c r="K367" s="38" t="s">
        <v>266</v>
      </c>
      <c r="L367" s="38"/>
      <c r="M367" s="39">
        <v>46039</v>
      </c>
      <c r="N367" s="38" t="s">
        <v>842</v>
      </c>
      <c r="O367" s="38" t="s">
        <v>390</v>
      </c>
      <c r="P367" s="38" t="s">
        <v>843</v>
      </c>
      <c r="Q367" s="38" t="s">
        <v>1560</v>
      </c>
      <c r="R367" s="38"/>
      <c r="S367" s="38" t="s">
        <v>266</v>
      </c>
    </row>
    <row r="368" spans="1:19" ht="39.6" hidden="1" customHeight="1" x14ac:dyDescent="0.3">
      <c r="A368" s="47">
        <v>1020746780</v>
      </c>
      <c r="B368" s="39">
        <v>46038</v>
      </c>
      <c r="C368" s="36" t="s">
        <v>573</v>
      </c>
      <c r="D368" s="47">
        <v>1020746780</v>
      </c>
      <c r="E368" s="36" t="s">
        <v>261</v>
      </c>
      <c r="F368" s="37" t="s">
        <v>488</v>
      </c>
      <c r="G368" s="38" t="s">
        <v>489</v>
      </c>
      <c r="H368" s="38">
        <v>4</v>
      </c>
      <c r="I368" s="38" t="s">
        <v>647</v>
      </c>
      <c r="J368" s="38" t="s">
        <v>1537</v>
      </c>
      <c r="K368" s="42" t="s">
        <v>835</v>
      </c>
      <c r="L368" s="38" t="s">
        <v>471</v>
      </c>
      <c r="M368" s="39">
        <v>46049</v>
      </c>
      <c r="N368" s="38" t="s">
        <v>842</v>
      </c>
      <c r="O368" s="38" t="s">
        <v>380</v>
      </c>
      <c r="P368" s="38" t="s">
        <v>843</v>
      </c>
      <c r="Q368" s="38" t="s">
        <v>1561</v>
      </c>
      <c r="R368" s="38"/>
      <c r="S368" s="38" t="s">
        <v>835</v>
      </c>
    </row>
    <row r="369" spans="1:19" ht="19.2" customHeight="1" x14ac:dyDescent="0.2">
      <c r="A369" s="47">
        <v>1020807325</v>
      </c>
      <c r="B369" s="39">
        <v>46050</v>
      </c>
      <c r="C369" s="36" t="s">
        <v>850</v>
      </c>
      <c r="D369" s="47">
        <v>1020807325</v>
      </c>
      <c r="E369" s="38" t="s">
        <v>101</v>
      </c>
      <c r="F369" s="37" t="s">
        <v>859</v>
      </c>
      <c r="G369" s="44">
        <v>3212135768</v>
      </c>
      <c r="H369" s="38">
        <v>2</v>
      </c>
      <c r="I369" s="38" t="s">
        <v>665</v>
      </c>
      <c r="J369" s="38" t="s">
        <v>666</v>
      </c>
      <c r="K369" s="38" t="s">
        <v>854</v>
      </c>
      <c r="L369" s="38"/>
      <c r="M369" s="39">
        <v>46062</v>
      </c>
      <c r="N369" s="38" t="s">
        <v>842</v>
      </c>
      <c r="O369" s="38" t="s">
        <v>390</v>
      </c>
      <c r="P369" s="38" t="s">
        <v>843</v>
      </c>
      <c r="Q369" s="38" t="s">
        <v>1561</v>
      </c>
      <c r="R369" s="38"/>
      <c r="S369" s="38"/>
    </row>
    <row r="370" spans="1:19" ht="19.2" hidden="1" x14ac:dyDescent="0.3">
      <c r="A370" s="47">
        <v>1020834140</v>
      </c>
      <c r="B370" s="39" t="s">
        <v>1492</v>
      </c>
      <c r="C370" s="36" t="s">
        <v>1605</v>
      </c>
      <c r="D370" s="47">
        <v>1020834140</v>
      </c>
      <c r="E370" s="36" t="s">
        <v>366</v>
      </c>
      <c r="F370" s="37" t="s">
        <v>1489</v>
      </c>
      <c r="G370" s="38">
        <v>3227744669</v>
      </c>
      <c r="H370" s="38">
        <v>5</v>
      </c>
      <c r="I370" s="38" t="s">
        <v>631</v>
      </c>
      <c r="J370" s="38" t="s">
        <v>631</v>
      </c>
      <c r="K370" s="38" t="s">
        <v>1418</v>
      </c>
      <c r="L370" s="38"/>
      <c r="M370" s="39"/>
      <c r="N370" s="38" t="s">
        <v>842</v>
      </c>
      <c r="O370" s="38" t="s">
        <v>380</v>
      </c>
      <c r="P370" s="38" t="s">
        <v>842</v>
      </c>
      <c r="Q370" s="38"/>
      <c r="R370" s="38"/>
      <c r="S370" s="38"/>
    </row>
    <row r="371" spans="1:19" ht="19.2" customHeight="1" x14ac:dyDescent="0.2">
      <c r="A371" s="47">
        <v>1022343913</v>
      </c>
      <c r="B371" s="48">
        <v>46050</v>
      </c>
      <c r="C371" s="36" t="s">
        <v>787</v>
      </c>
      <c r="D371" s="47">
        <v>1022343913</v>
      </c>
      <c r="E371" s="36" t="s">
        <v>349</v>
      </c>
      <c r="F371" s="37" t="s">
        <v>788</v>
      </c>
      <c r="G371" s="36">
        <v>3123204069</v>
      </c>
      <c r="H371" s="52">
        <v>4</v>
      </c>
      <c r="I371" s="38" t="s">
        <v>631</v>
      </c>
      <c r="J371" s="38" t="s">
        <v>631</v>
      </c>
      <c r="K371" s="52" t="s">
        <v>834</v>
      </c>
      <c r="L371" s="52"/>
      <c r="M371" s="39">
        <v>46062</v>
      </c>
      <c r="N371" s="38" t="s">
        <v>842</v>
      </c>
      <c r="O371" s="38" t="s">
        <v>390</v>
      </c>
      <c r="P371" s="38" t="s">
        <v>843</v>
      </c>
      <c r="Q371" s="38" t="s">
        <v>1560</v>
      </c>
      <c r="R371" s="38"/>
      <c r="S371" s="38" t="s">
        <v>834</v>
      </c>
    </row>
    <row r="372" spans="1:19" ht="19.2" hidden="1" x14ac:dyDescent="0.3">
      <c r="A372" s="47">
        <v>1022360933</v>
      </c>
      <c r="B372" s="39" t="s">
        <v>1150</v>
      </c>
      <c r="C372" s="36" t="s">
        <v>938</v>
      </c>
      <c r="D372" s="47">
        <v>1022360933</v>
      </c>
      <c r="E372" s="38" t="s">
        <v>384</v>
      </c>
      <c r="F372" s="37" t="s">
        <v>940</v>
      </c>
      <c r="G372" s="38">
        <v>3202631537</v>
      </c>
      <c r="H372" s="38">
        <v>2</v>
      </c>
      <c r="I372" s="38" t="s">
        <v>647</v>
      </c>
      <c r="J372" s="38" t="s">
        <v>967</v>
      </c>
      <c r="K372" s="38"/>
      <c r="L372" s="38" t="s">
        <v>1151</v>
      </c>
      <c r="M372" s="39"/>
      <c r="N372" s="38" t="s">
        <v>843</v>
      </c>
      <c r="O372" s="38" t="s">
        <v>380</v>
      </c>
      <c r="P372" s="38" t="s">
        <v>1555</v>
      </c>
      <c r="Q372" s="38" t="s">
        <v>1558</v>
      </c>
      <c r="R372" s="38"/>
      <c r="S372" s="38"/>
    </row>
    <row r="373" spans="1:19" ht="19.2" customHeight="1" x14ac:dyDescent="0.2">
      <c r="A373" s="47">
        <v>1022373506</v>
      </c>
      <c r="B373" s="48">
        <v>46045</v>
      </c>
      <c r="C373" s="36" t="s">
        <v>789</v>
      </c>
      <c r="D373" s="47">
        <v>1022373506</v>
      </c>
      <c r="E373" s="36" t="s">
        <v>349</v>
      </c>
      <c r="F373" s="37" t="s">
        <v>790</v>
      </c>
      <c r="G373" s="36">
        <v>3105761982</v>
      </c>
      <c r="H373" s="52">
        <v>4</v>
      </c>
      <c r="I373" s="38" t="s">
        <v>631</v>
      </c>
      <c r="J373" s="38" t="s">
        <v>631</v>
      </c>
      <c r="K373" s="52" t="s">
        <v>833</v>
      </c>
      <c r="L373" s="52"/>
      <c r="M373" s="39">
        <v>46062</v>
      </c>
      <c r="N373" s="38" t="s">
        <v>842</v>
      </c>
      <c r="O373" s="38" t="s">
        <v>390</v>
      </c>
      <c r="P373" s="38" t="s">
        <v>843</v>
      </c>
      <c r="Q373" s="38" t="s">
        <v>1560</v>
      </c>
      <c r="R373" s="38"/>
      <c r="S373" s="38" t="s">
        <v>833</v>
      </c>
    </row>
    <row r="374" spans="1:19" ht="19.2" hidden="1" x14ac:dyDescent="0.3">
      <c r="A374" s="47">
        <v>1022374269</v>
      </c>
      <c r="B374" s="39">
        <v>46041</v>
      </c>
      <c r="C374" s="36" t="s">
        <v>550</v>
      </c>
      <c r="D374" s="47">
        <v>1022374269</v>
      </c>
      <c r="E374" s="36" t="s">
        <v>389</v>
      </c>
      <c r="F374" s="37" t="s">
        <v>419</v>
      </c>
      <c r="G374" s="38">
        <v>3123314563</v>
      </c>
      <c r="H374" s="38">
        <v>4</v>
      </c>
      <c r="I374" s="38" t="s">
        <v>631</v>
      </c>
      <c r="J374" s="38" t="s">
        <v>631</v>
      </c>
      <c r="K374" s="38" t="s">
        <v>407</v>
      </c>
      <c r="L374" s="38"/>
      <c r="M374" s="39">
        <v>46049</v>
      </c>
      <c r="N374" s="38" t="s">
        <v>842</v>
      </c>
      <c r="O374" s="38" t="s">
        <v>390</v>
      </c>
      <c r="P374" s="38" t="s">
        <v>842</v>
      </c>
      <c r="Q374" s="38" t="s">
        <v>1559</v>
      </c>
      <c r="R374" s="38"/>
      <c r="S374" s="38" t="s">
        <v>407</v>
      </c>
    </row>
    <row r="375" spans="1:19" ht="19.2" x14ac:dyDescent="0.3">
      <c r="A375" s="47">
        <v>1022386793</v>
      </c>
      <c r="B375" s="39">
        <v>46056</v>
      </c>
      <c r="C375" s="36" t="s">
        <v>887</v>
      </c>
      <c r="D375" s="47">
        <v>1022386793</v>
      </c>
      <c r="E375" s="38" t="s">
        <v>349</v>
      </c>
      <c r="F375" s="37" t="s">
        <v>906</v>
      </c>
      <c r="G375" s="38" t="s">
        <v>911</v>
      </c>
      <c r="H375" s="38">
        <v>4</v>
      </c>
      <c r="I375" s="38" t="s">
        <v>631</v>
      </c>
      <c r="J375" s="38" t="s">
        <v>631</v>
      </c>
      <c r="K375" s="38" t="s">
        <v>870</v>
      </c>
      <c r="L375" s="38"/>
      <c r="M375" s="39">
        <v>46062</v>
      </c>
      <c r="N375" s="38" t="s">
        <v>842</v>
      </c>
      <c r="O375" s="38" t="s">
        <v>390</v>
      </c>
      <c r="P375" s="38" t="s">
        <v>843</v>
      </c>
      <c r="Q375" s="38" t="s">
        <v>1561</v>
      </c>
      <c r="R375" s="38"/>
      <c r="S375" s="38"/>
    </row>
    <row r="376" spans="1:19" ht="19.2" customHeight="1" x14ac:dyDescent="0.2">
      <c r="A376" s="47">
        <v>1022399368</v>
      </c>
      <c r="B376" s="48">
        <v>46050</v>
      </c>
      <c r="C376" s="36" t="s">
        <v>791</v>
      </c>
      <c r="D376" s="47">
        <v>1022399368</v>
      </c>
      <c r="E376" s="36" t="s">
        <v>349</v>
      </c>
      <c r="F376" s="37" t="s">
        <v>792</v>
      </c>
      <c r="G376" s="36">
        <v>3212368067</v>
      </c>
      <c r="H376" s="52">
        <v>4</v>
      </c>
      <c r="I376" s="38" t="s">
        <v>631</v>
      </c>
      <c r="J376" s="38" t="s">
        <v>631</v>
      </c>
      <c r="K376" s="52"/>
      <c r="L376" s="52" t="s">
        <v>836</v>
      </c>
      <c r="M376" s="39">
        <v>46062</v>
      </c>
      <c r="N376" s="38" t="s">
        <v>843</v>
      </c>
      <c r="O376" s="38" t="s">
        <v>390</v>
      </c>
      <c r="P376" s="38" t="s">
        <v>843</v>
      </c>
      <c r="Q376" s="38" t="s">
        <v>1558</v>
      </c>
      <c r="R376" s="38"/>
      <c r="S376" s="38"/>
    </row>
    <row r="377" spans="1:19" ht="19.2" x14ac:dyDescent="0.3">
      <c r="A377" s="47">
        <v>1022405754</v>
      </c>
      <c r="B377" s="39">
        <v>46038</v>
      </c>
      <c r="C377" s="36" t="s">
        <v>576</v>
      </c>
      <c r="D377" s="47">
        <v>1022405754</v>
      </c>
      <c r="E377" s="36" t="s">
        <v>349</v>
      </c>
      <c r="F377" s="37" t="s">
        <v>490</v>
      </c>
      <c r="G377" s="38">
        <v>3175710589</v>
      </c>
      <c r="H377" s="38">
        <v>2</v>
      </c>
      <c r="I377" s="38" t="s">
        <v>647</v>
      </c>
      <c r="J377" s="38" t="s">
        <v>967</v>
      </c>
      <c r="K377" s="38" t="s">
        <v>469</v>
      </c>
      <c r="L377" s="38"/>
      <c r="M377" s="39">
        <v>46049</v>
      </c>
      <c r="N377" s="38" t="s">
        <v>842</v>
      </c>
      <c r="O377" s="38" t="s">
        <v>390</v>
      </c>
      <c r="P377" s="38" t="s">
        <v>843</v>
      </c>
      <c r="Q377" s="38" t="s">
        <v>1560</v>
      </c>
      <c r="R377" s="38"/>
      <c r="S377" s="38" t="s">
        <v>469</v>
      </c>
    </row>
    <row r="378" spans="1:19" ht="28.8" hidden="1" x14ac:dyDescent="0.3">
      <c r="A378" s="47">
        <v>1022433756</v>
      </c>
      <c r="B378" s="48">
        <v>46017</v>
      </c>
      <c r="C378" s="36" t="s">
        <v>173</v>
      </c>
      <c r="D378" s="47">
        <v>1022433756</v>
      </c>
      <c r="E378" s="36" t="s">
        <v>389</v>
      </c>
      <c r="F378" s="37" t="s">
        <v>174</v>
      </c>
      <c r="G378" s="36">
        <v>3208048602</v>
      </c>
      <c r="H378" s="36">
        <v>4</v>
      </c>
      <c r="I378" s="38" t="s">
        <v>631</v>
      </c>
      <c r="J378" s="38" t="s">
        <v>631</v>
      </c>
      <c r="K378" s="36" t="s">
        <v>242</v>
      </c>
      <c r="L378" s="36"/>
      <c r="M378" s="39">
        <v>46035</v>
      </c>
      <c r="N378" s="38" t="s">
        <v>842</v>
      </c>
      <c r="O378" s="38" t="s">
        <v>390</v>
      </c>
      <c r="P378" s="38" t="s">
        <v>842</v>
      </c>
      <c r="Q378" s="38" t="s">
        <v>1559</v>
      </c>
      <c r="R378" s="38"/>
      <c r="S378" s="38" t="s">
        <v>242</v>
      </c>
    </row>
    <row r="379" spans="1:19" ht="19.2" x14ac:dyDescent="0.3">
      <c r="A379" s="47">
        <v>1023886427</v>
      </c>
      <c r="B379" s="39">
        <v>46073</v>
      </c>
      <c r="C379" s="36" t="s">
        <v>1220</v>
      </c>
      <c r="D379" s="47">
        <v>1023886427</v>
      </c>
      <c r="E379" s="38" t="s">
        <v>349</v>
      </c>
      <c r="F379" s="37" t="s">
        <v>1221</v>
      </c>
      <c r="G379" s="38">
        <v>3187768432</v>
      </c>
      <c r="H379" s="38">
        <v>5</v>
      </c>
      <c r="I379" s="38" t="s">
        <v>668</v>
      </c>
      <c r="J379" s="38" t="e">
        <v>#REF!</v>
      </c>
      <c r="K379" s="38"/>
      <c r="L379" s="38" t="s">
        <v>1196</v>
      </c>
      <c r="M379" s="39">
        <v>46076</v>
      </c>
      <c r="N379" s="38" t="s">
        <v>843</v>
      </c>
      <c r="O379" s="38" t="s">
        <v>390</v>
      </c>
      <c r="P379" s="38" t="s">
        <v>1555</v>
      </c>
      <c r="Q379" s="38" t="s">
        <v>1558</v>
      </c>
      <c r="R379" s="38"/>
      <c r="S379" s="38"/>
    </row>
    <row r="380" spans="1:19" ht="19.2" x14ac:dyDescent="0.3">
      <c r="A380" s="47">
        <v>1023894108</v>
      </c>
      <c r="B380" s="39">
        <v>46056</v>
      </c>
      <c r="C380" s="36" t="s">
        <v>937</v>
      </c>
      <c r="D380" s="47">
        <v>1023894108</v>
      </c>
      <c r="E380" s="38" t="s">
        <v>349</v>
      </c>
      <c r="F380" s="37" t="s">
        <v>943</v>
      </c>
      <c r="G380" s="38">
        <v>3102763192</v>
      </c>
      <c r="H380" s="38">
        <v>4</v>
      </c>
      <c r="I380" s="38" t="s">
        <v>631</v>
      </c>
      <c r="J380" s="38" t="s">
        <v>631</v>
      </c>
      <c r="K380" s="38" t="s">
        <v>994</v>
      </c>
      <c r="L380" s="38" t="s">
        <v>936</v>
      </c>
      <c r="M380" s="39">
        <v>46063</v>
      </c>
      <c r="N380" s="38" t="s">
        <v>842</v>
      </c>
      <c r="O380" s="38" t="s">
        <v>390</v>
      </c>
      <c r="P380" s="38" t="s">
        <v>843</v>
      </c>
      <c r="Q380" s="38" t="s">
        <v>1561</v>
      </c>
      <c r="R380" s="38"/>
      <c r="S380" s="38"/>
    </row>
    <row r="381" spans="1:19" ht="19.2" hidden="1" x14ac:dyDescent="0.3">
      <c r="A381" s="47">
        <v>1023917401</v>
      </c>
      <c r="B381" s="39">
        <v>46071</v>
      </c>
      <c r="C381" s="36" t="s">
        <v>1306</v>
      </c>
      <c r="D381" s="47">
        <v>1023917401</v>
      </c>
      <c r="E381" s="38" t="s">
        <v>366</v>
      </c>
      <c r="F381" s="37" t="s">
        <v>1307</v>
      </c>
      <c r="G381" s="38" t="s">
        <v>1314</v>
      </c>
      <c r="H381" s="38">
        <v>5</v>
      </c>
      <c r="I381" s="38" t="s">
        <v>645</v>
      </c>
      <c r="J381" s="38" t="e">
        <v>#REF!</v>
      </c>
      <c r="K381" s="38"/>
      <c r="L381" s="38" t="s">
        <v>1305</v>
      </c>
      <c r="M381" s="39"/>
      <c r="N381" s="38" t="s">
        <v>843</v>
      </c>
      <c r="O381" s="38" t="s">
        <v>380</v>
      </c>
      <c r="P381" s="38" t="s">
        <v>843</v>
      </c>
      <c r="Q381" s="38"/>
      <c r="R381" s="38"/>
      <c r="S381" s="38"/>
    </row>
    <row r="382" spans="1:19" ht="19.2" hidden="1" x14ac:dyDescent="0.3">
      <c r="A382" s="47">
        <v>1023941171</v>
      </c>
      <c r="B382" s="48">
        <v>46017</v>
      </c>
      <c r="C382" s="36" t="s">
        <v>171</v>
      </c>
      <c r="D382" s="47">
        <v>1023941171</v>
      </c>
      <c r="E382" s="36" t="s">
        <v>389</v>
      </c>
      <c r="F382" s="37" t="s">
        <v>172</v>
      </c>
      <c r="G382" s="36">
        <v>3212077757</v>
      </c>
      <c r="H382" s="36">
        <v>1</v>
      </c>
      <c r="I382" s="38" t="s">
        <v>631</v>
      </c>
      <c r="J382" s="38" t="s">
        <v>631</v>
      </c>
      <c r="K382" s="36" t="s">
        <v>242</v>
      </c>
      <c r="L382" s="36"/>
      <c r="M382" s="39">
        <v>46035</v>
      </c>
      <c r="N382" s="38" t="s">
        <v>842</v>
      </c>
      <c r="O382" s="38" t="s">
        <v>390</v>
      </c>
      <c r="P382" s="38" t="s">
        <v>842</v>
      </c>
      <c r="Q382" s="38" t="s">
        <v>1559</v>
      </c>
      <c r="R382" s="38"/>
      <c r="S382" s="38" t="s">
        <v>242</v>
      </c>
    </row>
    <row r="383" spans="1:19" ht="19.2" x14ac:dyDescent="0.3">
      <c r="A383" s="47">
        <v>1024550572</v>
      </c>
      <c r="B383" s="51">
        <v>46032</v>
      </c>
      <c r="C383" s="36" t="s">
        <v>289</v>
      </c>
      <c r="D383" s="47">
        <v>1024550572</v>
      </c>
      <c r="E383" s="36" t="s">
        <v>349</v>
      </c>
      <c r="F383" s="37" t="s">
        <v>290</v>
      </c>
      <c r="G383" s="38" t="s">
        <v>291</v>
      </c>
      <c r="H383" s="38">
        <v>4</v>
      </c>
      <c r="I383" s="38" t="s">
        <v>631</v>
      </c>
      <c r="J383" s="38" t="s">
        <v>631</v>
      </c>
      <c r="K383" s="38" t="s">
        <v>266</v>
      </c>
      <c r="L383" s="38"/>
      <c r="M383" s="39">
        <v>46039</v>
      </c>
      <c r="N383" s="38" t="s">
        <v>842</v>
      </c>
      <c r="O383" s="38" t="s">
        <v>390</v>
      </c>
      <c r="P383" s="38" t="s">
        <v>843</v>
      </c>
      <c r="Q383" s="38" t="s">
        <v>1560</v>
      </c>
      <c r="R383" s="38"/>
      <c r="S383" s="38" t="s">
        <v>266</v>
      </c>
    </row>
    <row r="384" spans="1:19" ht="39.6" customHeight="1" x14ac:dyDescent="0.2">
      <c r="A384" s="47">
        <v>1024589045</v>
      </c>
      <c r="B384" s="48">
        <v>46050</v>
      </c>
      <c r="C384" s="36" t="s">
        <v>793</v>
      </c>
      <c r="D384" s="47">
        <v>1024589045</v>
      </c>
      <c r="E384" s="36" t="s">
        <v>349</v>
      </c>
      <c r="F384" s="37" t="s">
        <v>794</v>
      </c>
      <c r="G384" s="36">
        <v>3016814820</v>
      </c>
      <c r="H384" s="52">
        <v>4</v>
      </c>
      <c r="I384" s="38" t="s">
        <v>631</v>
      </c>
      <c r="J384" s="38" t="s">
        <v>631</v>
      </c>
      <c r="K384" s="52" t="s">
        <v>834</v>
      </c>
      <c r="L384" s="52"/>
      <c r="M384" s="39">
        <v>46062</v>
      </c>
      <c r="N384" s="38" t="s">
        <v>842</v>
      </c>
      <c r="O384" s="38" t="s">
        <v>390</v>
      </c>
      <c r="P384" s="38" t="s">
        <v>842</v>
      </c>
      <c r="Q384" s="38" t="s">
        <v>1559</v>
      </c>
      <c r="R384" s="38"/>
      <c r="S384" s="38" t="s">
        <v>834</v>
      </c>
    </row>
    <row r="385" spans="1:19" ht="19.2" x14ac:dyDescent="0.3">
      <c r="A385" s="47">
        <v>1026254713</v>
      </c>
      <c r="B385" s="39">
        <v>46032</v>
      </c>
      <c r="C385" s="36" t="s">
        <v>457</v>
      </c>
      <c r="D385" s="47">
        <v>1026254713</v>
      </c>
      <c r="E385" s="36" t="s">
        <v>101</v>
      </c>
      <c r="F385" s="37" t="s">
        <v>458</v>
      </c>
      <c r="G385" s="38">
        <v>3112730466</v>
      </c>
      <c r="H385" s="38">
        <v>3</v>
      </c>
      <c r="I385" s="38" t="s">
        <v>679</v>
      </c>
      <c r="J385" s="38" t="s">
        <v>717</v>
      </c>
      <c r="K385" s="42" t="s">
        <v>834</v>
      </c>
      <c r="L385" s="39" t="s">
        <v>455</v>
      </c>
      <c r="M385" s="39">
        <v>46059</v>
      </c>
      <c r="N385" s="38" t="s">
        <v>842</v>
      </c>
      <c r="O385" s="38" t="s">
        <v>390</v>
      </c>
      <c r="P385" s="38" t="s">
        <v>842</v>
      </c>
      <c r="Q385" s="38" t="s">
        <v>1559</v>
      </c>
      <c r="R385" s="38"/>
      <c r="S385" s="38" t="s">
        <v>834</v>
      </c>
    </row>
    <row r="386" spans="1:19" ht="19.2" hidden="1" x14ac:dyDescent="0.3">
      <c r="A386" s="47">
        <v>1026290830</v>
      </c>
      <c r="B386" s="50" t="s">
        <v>542</v>
      </c>
      <c r="C386" s="36" t="s">
        <v>63</v>
      </c>
      <c r="D386" s="47">
        <v>1026290830</v>
      </c>
      <c r="E386" s="36" t="s">
        <v>389</v>
      </c>
      <c r="F386" s="37" t="s">
        <v>64</v>
      </c>
      <c r="G386" s="36">
        <v>3004211673</v>
      </c>
      <c r="H386" s="36">
        <v>4</v>
      </c>
      <c r="I386" s="38" t="s">
        <v>631</v>
      </c>
      <c r="J386" s="38" t="s">
        <v>631</v>
      </c>
      <c r="K386" s="36" t="s">
        <v>364</v>
      </c>
      <c r="L386" s="36" t="s">
        <v>543</v>
      </c>
      <c r="M386" s="39">
        <v>46049</v>
      </c>
      <c r="N386" s="38" t="s">
        <v>842</v>
      </c>
      <c r="O386" s="38" t="s">
        <v>390</v>
      </c>
      <c r="P386" s="38" t="s">
        <v>842</v>
      </c>
      <c r="Q386" s="38" t="s">
        <v>1559</v>
      </c>
      <c r="R386" s="38" t="s">
        <v>1570</v>
      </c>
      <c r="S386" s="38" t="s">
        <v>364</v>
      </c>
    </row>
    <row r="387" spans="1:19" ht="19.2" x14ac:dyDescent="0.3">
      <c r="A387" s="47">
        <v>1026560711</v>
      </c>
      <c r="B387" s="39">
        <v>46038</v>
      </c>
      <c r="C387" s="36" t="s">
        <v>577</v>
      </c>
      <c r="D387" s="47">
        <v>1026560711</v>
      </c>
      <c r="E387" s="36" t="s">
        <v>349</v>
      </c>
      <c r="F387" s="37" t="s">
        <v>491</v>
      </c>
      <c r="G387" s="38" t="s">
        <v>492</v>
      </c>
      <c r="H387" s="38">
        <v>4</v>
      </c>
      <c r="I387" s="38" t="s">
        <v>707</v>
      </c>
      <c r="J387" s="38" t="s">
        <v>708</v>
      </c>
      <c r="K387" s="38" t="s">
        <v>469</v>
      </c>
      <c r="L387" s="38"/>
      <c r="M387" s="39">
        <v>46049</v>
      </c>
      <c r="N387" s="38" t="s">
        <v>842</v>
      </c>
      <c r="O387" s="38" t="s">
        <v>390</v>
      </c>
      <c r="P387" s="38" t="s">
        <v>842</v>
      </c>
      <c r="Q387" s="38" t="s">
        <v>1559</v>
      </c>
      <c r="R387" s="38"/>
      <c r="S387" s="38" t="s">
        <v>469</v>
      </c>
    </row>
    <row r="388" spans="1:19" ht="19.2" x14ac:dyDescent="0.3">
      <c r="A388" s="47">
        <v>1028031813</v>
      </c>
      <c r="B388" s="39">
        <v>46073</v>
      </c>
      <c r="C388" s="36" t="s">
        <v>1200</v>
      </c>
      <c r="D388" s="47">
        <v>1028031813</v>
      </c>
      <c r="E388" s="38" t="s">
        <v>101</v>
      </c>
      <c r="F388" s="37" t="s">
        <v>1201</v>
      </c>
      <c r="G388" s="38">
        <v>3147720581</v>
      </c>
      <c r="H388" s="38">
        <v>5</v>
      </c>
      <c r="I388" s="38" t="s">
        <v>657</v>
      </c>
      <c r="J388" s="38" t="s">
        <v>979</v>
      </c>
      <c r="K388" s="38"/>
      <c r="L388" s="38" t="s">
        <v>1196</v>
      </c>
      <c r="M388" s="39">
        <v>46076</v>
      </c>
      <c r="N388" s="38" t="s">
        <v>843</v>
      </c>
      <c r="O388" s="38" t="s">
        <v>390</v>
      </c>
      <c r="P388" s="38" t="s">
        <v>1555</v>
      </c>
      <c r="Q388" s="38" t="s">
        <v>1558</v>
      </c>
      <c r="R388" s="38"/>
      <c r="S388" s="38"/>
    </row>
    <row r="389" spans="1:19" ht="19.2" x14ac:dyDescent="0.3">
      <c r="A389" s="47">
        <v>1030558932</v>
      </c>
      <c r="B389" s="39">
        <v>46097</v>
      </c>
      <c r="C389" s="38" t="s">
        <v>1406</v>
      </c>
      <c r="D389" s="47">
        <v>1030558932</v>
      </c>
      <c r="E389" s="38" t="s">
        <v>101</v>
      </c>
      <c r="F389" s="37" t="s">
        <v>1412</v>
      </c>
      <c r="G389" s="38">
        <v>3213664209</v>
      </c>
      <c r="H389" s="38">
        <v>2</v>
      </c>
      <c r="I389" s="38" t="s">
        <v>631</v>
      </c>
      <c r="J389" s="38" t="s">
        <v>631</v>
      </c>
      <c r="K389" s="38"/>
      <c r="L389" s="38" t="s">
        <v>1416</v>
      </c>
      <c r="M389" s="39"/>
      <c r="N389" s="38" t="s">
        <v>843</v>
      </c>
      <c r="O389" s="38" t="s">
        <v>390</v>
      </c>
      <c r="P389" s="38" t="s">
        <v>843</v>
      </c>
      <c r="Q389" s="38"/>
      <c r="R389" s="38"/>
      <c r="S389" s="38"/>
    </row>
    <row r="390" spans="1:19" ht="19.2" hidden="1" x14ac:dyDescent="0.3">
      <c r="A390" s="47">
        <v>1030602861</v>
      </c>
      <c r="B390" s="49">
        <v>46020</v>
      </c>
      <c r="C390" s="36" t="s">
        <v>169</v>
      </c>
      <c r="D390" s="47">
        <v>1030602861</v>
      </c>
      <c r="E390" s="36" t="s">
        <v>389</v>
      </c>
      <c r="F390" s="37" t="s">
        <v>1534</v>
      </c>
      <c r="G390" s="36">
        <v>3118923984</v>
      </c>
      <c r="H390" s="36">
        <v>4</v>
      </c>
      <c r="I390" s="38" t="s">
        <v>631</v>
      </c>
      <c r="J390" s="38" t="s">
        <v>631</v>
      </c>
      <c r="K390" s="36" t="s">
        <v>252</v>
      </c>
      <c r="L390" s="36" t="s">
        <v>244</v>
      </c>
      <c r="M390" s="39">
        <v>46035</v>
      </c>
      <c r="N390" s="38" t="s">
        <v>842</v>
      </c>
      <c r="O390" s="38" t="s">
        <v>390</v>
      </c>
      <c r="P390" s="38" t="s">
        <v>842</v>
      </c>
      <c r="Q390" s="38" t="s">
        <v>1559</v>
      </c>
      <c r="R390" s="38"/>
      <c r="S390" s="38" t="s">
        <v>252</v>
      </c>
    </row>
    <row r="391" spans="1:19" ht="19.2" x14ac:dyDescent="0.3">
      <c r="A391" s="47">
        <v>1030627215</v>
      </c>
      <c r="B391" s="39" t="s">
        <v>1150</v>
      </c>
      <c r="C391" s="36" t="s">
        <v>921</v>
      </c>
      <c r="D391" s="47">
        <v>1030627215</v>
      </c>
      <c r="E391" s="38" t="s">
        <v>349</v>
      </c>
      <c r="F391" s="37" t="s">
        <v>924</v>
      </c>
      <c r="G391" s="38">
        <v>3185636397</v>
      </c>
      <c r="H391" s="38">
        <v>4</v>
      </c>
      <c r="I391" s="38" t="s">
        <v>631</v>
      </c>
      <c r="J391" s="38" t="s">
        <v>631</v>
      </c>
      <c r="K391" s="38" t="s">
        <v>1323</v>
      </c>
      <c r="L391" s="38" t="s">
        <v>920</v>
      </c>
      <c r="M391" s="39">
        <v>46063</v>
      </c>
      <c r="N391" s="38" t="s">
        <v>842</v>
      </c>
      <c r="O391" s="38" t="s">
        <v>390</v>
      </c>
      <c r="P391" s="38" t="s">
        <v>843</v>
      </c>
      <c r="Q391" s="38" t="s">
        <v>1558</v>
      </c>
      <c r="R391" s="38"/>
      <c r="S391" s="38"/>
    </row>
    <row r="392" spans="1:19" ht="19.2" hidden="1" x14ac:dyDescent="0.3">
      <c r="A392" s="47">
        <v>1030633303</v>
      </c>
      <c r="B392" s="49">
        <v>46020</v>
      </c>
      <c r="C392" s="36" t="s">
        <v>170</v>
      </c>
      <c r="D392" s="47">
        <v>1030633303</v>
      </c>
      <c r="E392" s="36" t="s">
        <v>389</v>
      </c>
      <c r="F392" s="37" t="s">
        <v>1533</v>
      </c>
      <c r="G392" s="36">
        <v>3185326727</v>
      </c>
      <c r="H392" s="36">
        <v>4</v>
      </c>
      <c r="I392" s="38" t="s">
        <v>631</v>
      </c>
      <c r="J392" s="38" t="s">
        <v>631</v>
      </c>
      <c r="K392" s="36" t="s">
        <v>245</v>
      </c>
      <c r="L392" s="36"/>
      <c r="M392" s="39">
        <v>46035</v>
      </c>
      <c r="N392" s="38" t="s">
        <v>842</v>
      </c>
      <c r="O392" s="38" t="s">
        <v>390</v>
      </c>
      <c r="P392" s="38" t="s">
        <v>843</v>
      </c>
      <c r="Q392" s="38" t="s">
        <v>1560</v>
      </c>
      <c r="R392" s="38"/>
      <c r="S392" s="38" t="s">
        <v>245</v>
      </c>
    </row>
    <row r="393" spans="1:19" ht="19.2" hidden="1" x14ac:dyDescent="0.3">
      <c r="A393" s="47">
        <v>1030666129</v>
      </c>
      <c r="B393" s="50">
        <v>46029</v>
      </c>
      <c r="C393" s="36" t="s">
        <v>22</v>
      </c>
      <c r="D393" s="47">
        <v>1030666129</v>
      </c>
      <c r="E393" s="36" t="s">
        <v>383</v>
      </c>
      <c r="F393" s="37" t="s">
        <v>23</v>
      </c>
      <c r="G393" s="36">
        <v>3132947666</v>
      </c>
      <c r="H393" s="36">
        <v>4</v>
      </c>
      <c r="I393" s="38" t="s">
        <v>631</v>
      </c>
      <c r="J393" s="38" t="s">
        <v>631</v>
      </c>
      <c r="K393" s="36" t="s">
        <v>259</v>
      </c>
      <c r="L393" s="36"/>
      <c r="M393" s="39">
        <v>46035</v>
      </c>
      <c r="N393" s="38" t="s">
        <v>842</v>
      </c>
      <c r="O393" s="38" t="s">
        <v>380</v>
      </c>
      <c r="P393" s="38" t="s">
        <v>842</v>
      </c>
      <c r="Q393" s="38" t="s">
        <v>1559</v>
      </c>
      <c r="R393" s="38"/>
      <c r="S393" s="38" t="s">
        <v>259</v>
      </c>
    </row>
    <row r="394" spans="1:19" ht="19.2" hidden="1" x14ac:dyDescent="0.3">
      <c r="A394" s="47">
        <v>1030675464</v>
      </c>
      <c r="B394" s="51">
        <v>46032</v>
      </c>
      <c r="C394" s="36" t="s">
        <v>345</v>
      </c>
      <c r="D394" s="47">
        <v>1030675464</v>
      </c>
      <c r="E394" s="36" t="s">
        <v>261</v>
      </c>
      <c r="F394" s="37" t="s">
        <v>346</v>
      </c>
      <c r="G394" s="38">
        <v>3172962024</v>
      </c>
      <c r="H394" s="38">
        <v>4</v>
      </c>
      <c r="I394" s="38" t="s">
        <v>631</v>
      </c>
      <c r="J394" s="38" t="s">
        <v>631</v>
      </c>
      <c r="K394" s="42"/>
      <c r="L394" s="38" t="s">
        <v>271</v>
      </c>
      <c r="M394" s="39">
        <v>46039</v>
      </c>
      <c r="N394" s="38" t="s">
        <v>843</v>
      </c>
      <c r="O394" s="38" t="s">
        <v>380</v>
      </c>
      <c r="P394" s="38" t="s">
        <v>843</v>
      </c>
      <c r="Q394" s="38" t="s">
        <v>1558</v>
      </c>
      <c r="R394" s="38"/>
      <c r="S394" s="38"/>
    </row>
    <row r="395" spans="1:19" ht="28.8" hidden="1" x14ac:dyDescent="0.3">
      <c r="A395" s="47">
        <v>1030690020</v>
      </c>
      <c r="B395" s="49">
        <v>46020</v>
      </c>
      <c r="C395" s="36" t="s">
        <v>87</v>
      </c>
      <c r="D395" s="47">
        <v>1030690020</v>
      </c>
      <c r="E395" s="36" t="s">
        <v>381</v>
      </c>
      <c r="F395" s="37" t="s">
        <v>88</v>
      </c>
      <c r="G395" s="36">
        <v>3204521679</v>
      </c>
      <c r="H395" s="36">
        <v>4</v>
      </c>
      <c r="I395" s="38" t="s">
        <v>631</v>
      </c>
      <c r="J395" s="38" t="s">
        <v>631</v>
      </c>
      <c r="K395" s="40"/>
      <c r="L395" s="36" t="s">
        <v>249</v>
      </c>
      <c r="M395" s="39">
        <v>46035</v>
      </c>
      <c r="N395" s="38" t="s">
        <v>843</v>
      </c>
      <c r="O395" s="38" t="s">
        <v>380</v>
      </c>
      <c r="P395" s="38" t="s">
        <v>843</v>
      </c>
      <c r="Q395" s="38" t="s">
        <v>1558</v>
      </c>
      <c r="R395" s="38"/>
      <c r="S395" s="38"/>
    </row>
    <row r="396" spans="1:19" ht="19.2" x14ac:dyDescent="0.3">
      <c r="A396" s="47">
        <v>1031164512</v>
      </c>
      <c r="B396" s="39">
        <v>46062</v>
      </c>
      <c r="C396" s="36" t="s">
        <v>1084</v>
      </c>
      <c r="D396" s="47">
        <v>1031164512</v>
      </c>
      <c r="E396" s="38" t="s">
        <v>101</v>
      </c>
      <c r="F396" s="37" t="s">
        <v>1085</v>
      </c>
      <c r="G396" s="38">
        <v>3118799509</v>
      </c>
      <c r="H396" s="38">
        <v>4</v>
      </c>
      <c r="I396" s="38" t="s">
        <v>707</v>
      </c>
      <c r="J396" s="38" t="s">
        <v>977</v>
      </c>
      <c r="K396" s="38" t="s">
        <v>1064</v>
      </c>
      <c r="L396" s="38"/>
      <c r="M396" s="39">
        <v>46072</v>
      </c>
      <c r="N396" s="38" t="s">
        <v>842</v>
      </c>
      <c r="O396" s="38" t="s">
        <v>390</v>
      </c>
      <c r="P396" s="38" t="s">
        <v>842</v>
      </c>
      <c r="Q396" s="38" t="s">
        <v>1559</v>
      </c>
      <c r="R396" s="38" t="s">
        <v>1585</v>
      </c>
      <c r="S396" s="38"/>
    </row>
    <row r="397" spans="1:19" ht="19.2" hidden="1" x14ac:dyDescent="0.3">
      <c r="A397" s="47">
        <v>1031646540</v>
      </c>
      <c r="B397" s="49">
        <v>46020</v>
      </c>
      <c r="C397" s="36" t="s">
        <v>145</v>
      </c>
      <c r="D397" s="47">
        <v>1031646540</v>
      </c>
      <c r="E397" s="36" t="s">
        <v>384</v>
      </c>
      <c r="F397" s="37" t="s">
        <v>146</v>
      </c>
      <c r="G397" s="36">
        <v>3233713556</v>
      </c>
      <c r="H397" s="36">
        <v>4</v>
      </c>
      <c r="I397" s="38" t="s">
        <v>631</v>
      </c>
      <c r="J397" s="38" t="s">
        <v>631</v>
      </c>
      <c r="K397" s="36" t="s">
        <v>246</v>
      </c>
      <c r="L397" s="36"/>
      <c r="M397" s="39">
        <v>46035</v>
      </c>
      <c r="N397" s="38" t="s">
        <v>842</v>
      </c>
      <c r="O397" s="38" t="s">
        <v>380</v>
      </c>
      <c r="P397" s="38" t="s">
        <v>842</v>
      </c>
      <c r="Q397" s="38" t="s">
        <v>1559</v>
      </c>
      <c r="R397" s="38"/>
      <c r="S397" s="38" t="s">
        <v>246</v>
      </c>
    </row>
    <row r="398" spans="1:19" ht="19.2" x14ac:dyDescent="0.3">
      <c r="A398" s="47">
        <v>1032378652</v>
      </c>
      <c r="B398" s="39">
        <v>46041</v>
      </c>
      <c r="C398" s="36" t="s">
        <v>530</v>
      </c>
      <c r="D398" s="47">
        <v>1032378652</v>
      </c>
      <c r="E398" s="36" t="s">
        <v>101</v>
      </c>
      <c r="F398" s="37" t="s">
        <v>531</v>
      </c>
      <c r="G398" s="38" t="s">
        <v>532</v>
      </c>
      <c r="H398" s="38">
        <v>2</v>
      </c>
      <c r="I398" s="38" t="s">
        <v>665</v>
      </c>
      <c r="J398" s="38" t="s">
        <v>666</v>
      </c>
      <c r="K398" s="38" t="s">
        <v>509</v>
      </c>
      <c r="L398" s="39"/>
      <c r="M398" s="39">
        <v>46049</v>
      </c>
      <c r="N398" s="38" t="s">
        <v>842</v>
      </c>
      <c r="O398" s="38" t="s">
        <v>390</v>
      </c>
      <c r="P398" s="38" t="s">
        <v>843</v>
      </c>
      <c r="Q398" s="38" t="s">
        <v>1560</v>
      </c>
      <c r="R398" s="38"/>
      <c r="S398" s="38" t="s">
        <v>509</v>
      </c>
    </row>
    <row r="399" spans="1:19" ht="19.2" x14ac:dyDescent="0.3">
      <c r="A399" s="47">
        <v>1032379934</v>
      </c>
      <c r="B399" s="39">
        <v>46041</v>
      </c>
      <c r="C399" s="36" t="s">
        <v>533</v>
      </c>
      <c r="D399" s="47">
        <v>1032379934</v>
      </c>
      <c r="E399" s="36" t="s">
        <v>349</v>
      </c>
      <c r="F399" s="37" t="s">
        <v>534</v>
      </c>
      <c r="G399" s="38">
        <v>3156125497</v>
      </c>
      <c r="H399" s="38">
        <v>4</v>
      </c>
      <c r="I399" s="38" t="s">
        <v>631</v>
      </c>
      <c r="J399" s="38" t="s">
        <v>631</v>
      </c>
      <c r="K399" s="38" t="s">
        <v>509</v>
      </c>
      <c r="L399" s="39"/>
      <c r="M399" s="39">
        <v>46049</v>
      </c>
      <c r="N399" s="38" t="s">
        <v>842</v>
      </c>
      <c r="O399" s="38" t="s">
        <v>390</v>
      </c>
      <c r="P399" s="38" t="s">
        <v>843</v>
      </c>
      <c r="Q399" s="38" t="s">
        <v>1560</v>
      </c>
      <c r="R399" s="38"/>
      <c r="S399" s="38" t="s">
        <v>509</v>
      </c>
    </row>
    <row r="400" spans="1:19" ht="19.2" x14ac:dyDescent="0.3">
      <c r="A400" s="47">
        <v>1032394684</v>
      </c>
      <c r="B400" s="39">
        <v>46041</v>
      </c>
      <c r="C400" s="36" t="s">
        <v>570</v>
      </c>
      <c r="D400" s="47">
        <v>1032394684</v>
      </c>
      <c r="E400" s="36" t="s">
        <v>101</v>
      </c>
      <c r="F400" s="37" t="s">
        <v>431</v>
      </c>
      <c r="G400" s="38">
        <v>3118243186</v>
      </c>
      <c r="H400" s="38">
        <v>4</v>
      </c>
      <c r="I400" s="38" t="s">
        <v>631</v>
      </c>
      <c r="J400" s="38" t="s">
        <v>631</v>
      </c>
      <c r="K400" s="38" t="s">
        <v>407</v>
      </c>
      <c r="L400" s="38"/>
      <c r="M400" s="39">
        <v>46049</v>
      </c>
      <c r="N400" s="38" t="s">
        <v>842</v>
      </c>
      <c r="O400" s="38" t="s">
        <v>390</v>
      </c>
      <c r="P400" s="38" t="s">
        <v>842</v>
      </c>
      <c r="Q400" s="38" t="s">
        <v>1559</v>
      </c>
      <c r="R400" s="38"/>
      <c r="S400" s="38" t="s">
        <v>407</v>
      </c>
    </row>
    <row r="401" spans="1:19" ht="19.2" x14ac:dyDescent="0.3">
      <c r="A401" s="47">
        <v>1032397672</v>
      </c>
      <c r="B401" s="39">
        <v>46056</v>
      </c>
      <c r="C401" s="36" t="s">
        <v>948</v>
      </c>
      <c r="D401" s="47">
        <v>1032397672</v>
      </c>
      <c r="E401" s="38" t="s">
        <v>349</v>
      </c>
      <c r="F401" s="37" t="s">
        <v>959</v>
      </c>
      <c r="G401" s="38">
        <v>3192339761</v>
      </c>
      <c r="H401" s="38">
        <v>4</v>
      </c>
      <c r="I401" s="38" t="s">
        <v>631</v>
      </c>
      <c r="J401" s="38" t="s">
        <v>631</v>
      </c>
      <c r="K401" s="38" t="s">
        <v>942</v>
      </c>
      <c r="L401" s="38"/>
      <c r="M401" s="39">
        <v>46063</v>
      </c>
      <c r="N401" s="38" t="s">
        <v>842</v>
      </c>
      <c r="O401" s="38" t="s">
        <v>390</v>
      </c>
      <c r="P401" s="38" t="s">
        <v>843</v>
      </c>
      <c r="Q401" s="38" t="s">
        <v>1561</v>
      </c>
      <c r="R401" s="38"/>
      <c r="S401" s="38"/>
    </row>
    <row r="402" spans="1:19" ht="19.2" x14ac:dyDescent="0.3">
      <c r="A402" s="47">
        <v>1032417171</v>
      </c>
      <c r="B402" s="39">
        <v>46062</v>
      </c>
      <c r="C402" s="36" t="s">
        <v>1109</v>
      </c>
      <c r="D402" s="47">
        <v>1032417171</v>
      </c>
      <c r="E402" s="38" t="s">
        <v>349</v>
      </c>
      <c r="F402" s="37" t="s">
        <v>1110</v>
      </c>
      <c r="G402" s="38">
        <v>3160503002</v>
      </c>
      <c r="H402" s="38">
        <v>5</v>
      </c>
      <c r="I402" s="38" t="s">
        <v>645</v>
      </c>
      <c r="J402" s="38" t="s">
        <v>664</v>
      </c>
      <c r="K402" s="38"/>
      <c r="L402" s="38" t="s">
        <v>1106</v>
      </c>
      <c r="M402" s="39">
        <v>46069</v>
      </c>
      <c r="N402" s="38" t="s">
        <v>843</v>
      </c>
      <c r="O402" s="38" t="s">
        <v>390</v>
      </c>
      <c r="P402" s="38" t="s">
        <v>843</v>
      </c>
      <c r="Q402" s="38" t="s">
        <v>1558</v>
      </c>
      <c r="R402" s="38"/>
      <c r="S402" s="38"/>
    </row>
    <row r="403" spans="1:19" ht="19.2" hidden="1" x14ac:dyDescent="0.3">
      <c r="A403" s="47">
        <v>1032473395</v>
      </c>
      <c r="B403" s="49">
        <v>46020</v>
      </c>
      <c r="C403" s="36" t="s">
        <v>133</v>
      </c>
      <c r="D403" s="47">
        <v>1032473395</v>
      </c>
      <c r="E403" s="36" t="s">
        <v>381</v>
      </c>
      <c r="F403" s="37" t="s">
        <v>134</v>
      </c>
      <c r="G403" s="36">
        <v>3223901260</v>
      </c>
      <c r="H403" s="36">
        <v>4</v>
      </c>
      <c r="I403" s="38" t="s">
        <v>631</v>
      </c>
      <c r="J403" s="38" t="s">
        <v>631</v>
      </c>
      <c r="K403" s="36" t="s">
        <v>245</v>
      </c>
      <c r="L403" s="36"/>
      <c r="M403" s="39">
        <v>46035</v>
      </c>
      <c r="N403" s="38" t="s">
        <v>842</v>
      </c>
      <c r="O403" s="38" t="s">
        <v>380</v>
      </c>
      <c r="P403" s="38" t="s">
        <v>843</v>
      </c>
      <c r="Q403" s="38" t="s">
        <v>1561</v>
      </c>
      <c r="R403" s="38"/>
      <c r="S403" s="38" t="s">
        <v>245</v>
      </c>
    </row>
    <row r="404" spans="1:19" ht="19.2" x14ac:dyDescent="0.3">
      <c r="A404" s="47">
        <v>1032477486</v>
      </c>
      <c r="B404" s="48">
        <v>46017</v>
      </c>
      <c r="C404" s="36" t="s">
        <v>199</v>
      </c>
      <c r="D404" s="47">
        <v>1032477486</v>
      </c>
      <c r="E404" s="36" t="s">
        <v>101</v>
      </c>
      <c r="F404" s="37" t="s">
        <v>200</v>
      </c>
      <c r="G404" s="36">
        <v>3124075059</v>
      </c>
      <c r="H404" s="36">
        <v>4</v>
      </c>
      <c r="I404" s="38" t="s">
        <v>631</v>
      </c>
      <c r="J404" s="38" t="s">
        <v>631</v>
      </c>
      <c r="K404" s="36" t="s">
        <v>242</v>
      </c>
      <c r="L404" s="36"/>
      <c r="M404" s="39">
        <v>46035</v>
      </c>
      <c r="N404" s="38" t="s">
        <v>842</v>
      </c>
      <c r="O404" s="38" t="s">
        <v>390</v>
      </c>
      <c r="P404" s="38" t="s">
        <v>842</v>
      </c>
      <c r="Q404" s="38" t="s">
        <v>1559</v>
      </c>
      <c r="R404" s="38"/>
      <c r="S404" s="38" t="s">
        <v>242</v>
      </c>
    </row>
    <row r="405" spans="1:19" ht="19.2" x14ac:dyDescent="0.3">
      <c r="A405" s="47">
        <v>1033724236</v>
      </c>
      <c r="B405" s="51">
        <v>46032</v>
      </c>
      <c r="C405" s="36" t="s">
        <v>331</v>
      </c>
      <c r="D405" s="47">
        <v>1033724236</v>
      </c>
      <c r="E405" s="36" t="s">
        <v>349</v>
      </c>
      <c r="F405" s="37" t="s">
        <v>332</v>
      </c>
      <c r="G405" s="38" t="s">
        <v>333</v>
      </c>
      <c r="H405" s="38">
        <v>4</v>
      </c>
      <c r="I405" s="38" t="s">
        <v>631</v>
      </c>
      <c r="J405" s="38" t="s">
        <v>631</v>
      </c>
      <c r="K405" s="38" t="s">
        <v>266</v>
      </c>
      <c r="L405" s="38"/>
      <c r="M405" s="39">
        <v>46039</v>
      </c>
      <c r="N405" s="38" t="s">
        <v>842</v>
      </c>
      <c r="O405" s="38" t="s">
        <v>390</v>
      </c>
      <c r="P405" s="38" t="s">
        <v>842</v>
      </c>
      <c r="Q405" s="38" t="s">
        <v>1559</v>
      </c>
      <c r="R405" s="38"/>
      <c r="S405" s="38" t="s">
        <v>266</v>
      </c>
    </row>
    <row r="406" spans="1:19" ht="19.2" x14ac:dyDescent="0.3">
      <c r="A406" s="47">
        <v>1036397651</v>
      </c>
      <c r="B406" s="39">
        <v>46097</v>
      </c>
      <c r="C406" s="38" t="s">
        <v>1449</v>
      </c>
      <c r="D406" s="47">
        <v>1036397651</v>
      </c>
      <c r="E406" s="36" t="s">
        <v>101</v>
      </c>
      <c r="F406" s="37" t="s">
        <v>1486</v>
      </c>
      <c r="G406" s="38">
        <v>3146168152</v>
      </c>
      <c r="H406" s="38">
        <v>2</v>
      </c>
      <c r="I406" s="38" t="s">
        <v>657</v>
      </c>
      <c r="J406" s="38" t="e">
        <v>#REF!</v>
      </c>
      <c r="K406" s="38" t="s">
        <v>1418</v>
      </c>
      <c r="L406" s="38"/>
      <c r="M406" s="39"/>
      <c r="N406" s="38" t="s">
        <v>842</v>
      </c>
      <c r="O406" s="38" t="s">
        <v>390</v>
      </c>
      <c r="P406" s="38" t="s">
        <v>843</v>
      </c>
      <c r="Q406" s="38"/>
      <c r="R406" s="38"/>
      <c r="S406" s="38"/>
    </row>
    <row r="407" spans="1:19" ht="19.2" x14ac:dyDescent="0.3">
      <c r="A407" s="47">
        <v>1042456346</v>
      </c>
      <c r="B407" s="39" t="s">
        <v>1150</v>
      </c>
      <c r="C407" s="36" t="s">
        <v>934</v>
      </c>
      <c r="D407" s="47">
        <v>1042456346</v>
      </c>
      <c r="E407" s="38" t="s">
        <v>349</v>
      </c>
      <c r="F407" s="37" t="s">
        <v>935</v>
      </c>
      <c r="G407" s="38">
        <v>3186101124</v>
      </c>
      <c r="H407" s="38">
        <v>1</v>
      </c>
      <c r="I407" s="38" t="s">
        <v>636</v>
      </c>
      <c r="J407" s="38" t="e">
        <v>#REF!</v>
      </c>
      <c r="K407" s="38" t="s">
        <v>1152</v>
      </c>
      <c r="L407" s="38" t="s">
        <v>936</v>
      </c>
      <c r="M407" s="39">
        <v>46063</v>
      </c>
      <c r="N407" s="38" t="s">
        <v>842</v>
      </c>
      <c r="O407" s="38" t="s">
        <v>390</v>
      </c>
      <c r="P407" s="38" t="s">
        <v>843</v>
      </c>
      <c r="Q407" s="38" t="s">
        <v>1558</v>
      </c>
      <c r="R407" s="38"/>
      <c r="S407" s="38"/>
    </row>
    <row r="408" spans="1:19" ht="19.2" customHeight="1" x14ac:dyDescent="0.2">
      <c r="A408" s="47">
        <v>1045716995</v>
      </c>
      <c r="B408" s="48">
        <v>46045</v>
      </c>
      <c r="C408" s="36" t="s">
        <v>795</v>
      </c>
      <c r="D408" s="47">
        <v>1045716995</v>
      </c>
      <c r="E408" s="36" t="s">
        <v>349</v>
      </c>
      <c r="F408" s="37" t="s">
        <v>796</v>
      </c>
      <c r="G408" s="36">
        <v>3153946273</v>
      </c>
      <c r="H408" s="52">
        <v>4</v>
      </c>
      <c r="I408" s="38" t="s">
        <v>631</v>
      </c>
      <c r="J408" s="38" t="s">
        <v>631</v>
      </c>
      <c r="K408" s="52" t="s">
        <v>835</v>
      </c>
      <c r="L408" s="52"/>
      <c r="M408" s="39">
        <v>46062</v>
      </c>
      <c r="N408" s="38" t="s">
        <v>842</v>
      </c>
      <c r="O408" s="38" t="s">
        <v>390</v>
      </c>
      <c r="P408" s="38" t="s">
        <v>843</v>
      </c>
      <c r="Q408" s="38" t="s">
        <v>1561</v>
      </c>
      <c r="R408" s="38"/>
      <c r="S408" s="38" t="s">
        <v>835</v>
      </c>
    </row>
    <row r="409" spans="1:19" ht="39.6" customHeight="1" x14ac:dyDescent="0.3">
      <c r="A409" s="47">
        <v>1047477381</v>
      </c>
      <c r="B409" s="39">
        <v>46062</v>
      </c>
      <c r="C409" s="36" t="s">
        <v>1052</v>
      </c>
      <c r="D409" s="47">
        <v>1047477381</v>
      </c>
      <c r="E409" s="38" t="s">
        <v>349</v>
      </c>
      <c r="F409" s="37" t="s">
        <v>1053</v>
      </c>
      <c r="G409" s="38">
        <v>3145931266</v>
      </c>
      <c r="H409" s="38">
        <v>1</v>
      </c>
      <c r="I409" s="38" t="s">
        <v>686</v>
      </c>
      <c r="J409" s="38" t="s">
        <v>709</v>
      </c>
      <c r="K409" s="38" t="s">
        <v>1017</v>
      </c>
      <c r="L409" s="38"/>
      <c r="M409" s="39">
        <v>46072</v>
      </c>
      <c r="N409" s="38" t="s">
        <v>842</v>
      </c>
      <c r="O409" s="38" t="s">
        <v>390</v>
      </c>
      <c r="P409" s="38" t="s">
        <v>843</v>
      </c>
      <c r="Q409" s="38" t="s">
        <v>1561</v>
      </c>
      <c r="R409" s="38"/>
      <c r="S409" s="38"/>
    </row>
    <row r="410" spans="1:19" ht="28.8" x14ac:dyDescent="0.3">
      <c r="A410" s="47">
        <v>1049603437</v>
      </c>
      <c r="B410" s="39">
        <v>46056</v>
      </c>
      <c r="C410" s="36" t="s">
        <v>946</v>
      </c>
      <c r="D410" s="47">
        <v>1049603437</v>
      </c>
      <c r="E410" s="38" t="s">
        <v>101</v>
      </c>
      <c r="F410" s="37" t="s">
        <v>956</v>
      </c>
      <c r="G410" s="38">
        <v>3153024391</v>
      </c>
      <c r="H410" s="38">
        <v>3</v>
      </c>
      <c r="I410" s="38" t="s">
        <v>653</v>
      </c>
      <c r="J410" s="38" t="s">
        <v>968</v>
      </c>
      <c r="K410" s="38" t="s">
        <v>942</v>
      </c>
      <c r="L410" s="38"/>
      <c r="M410" s="39">
        <v>46063</v>
      </c>
      <c r="N410" s="38" t="s">
        <v>842</v>
      </c>
      <c r="O410" s="38" t="s">
        <v>390</v>
      </c>
      <c r="P410" s="38" t="s">
        <v>842</v>
      </c>
      <c r="Q410" s="38" t="s">
        <v>1559</v>
      </c>
      <c r="R410" s="38" t="s">
        <v>1585</v>
      </c>
      <c r="S410" s="38"/>
    </row>
    <row r="411" spans="1:19" ht="19.2" x14ac:dyDescent="0.3">
      <c r="A411" s="47">
        <v>1049613411</v>
      </c>
      <c r="B411" s="39">
        <v>46084</v>
      </c>
      <c r="C411" s="38" t="s">
        <v>1375</v>
      </c>
      <c r="D411" s="47">
        <v>1049613411</v>
      </c>
      <c r="E411" s="38" t="s">
        <v>349</v>
      </c>
      <c r="F411" s="37" t="s">
        <v>1389</v>
      </c>
      <c r="G411" s="38">
        <v>3108962400</v>
      </c>
      <c r="H411" s="38">
        <v>3</v>
      </c>
      <c r="I411" s="38" t="s">
        <v>1601</v>
      </c>
      <c r="J411" s="38" t="e">
        <v>#REF!</v>
      </c>
      <c r="K411" s="38" t="s">
        <v>1404</v>
      </c>
      <c r="L411" s="38"/>
      <c r="M411" s="39"/>
      <c r="N411" s="38" t="s">
        <v>842</v>
      </c>
      <c r="O411" s="38" t="s">
        <v>390</v>
      </c>
      <c r="P411" s="38" t="s">
        <v>843</v>
      </c>
      <c r="Q411" s="38"/>
      <c r="R411" s="38"/>
      <c r="S411" s="38"/>
    </row>
    <row r="412" spans="1:19" ht="19.2" hidden="1" x14ac:dyDescent="0.3">
      <c r="A412" s="47">
        <v>1049622701</v>
      </c>
      <c r="B412" s="50">
        <v>46029</v>
      </c>
      <c r="C412" s="36" t="s">
        <v>26</v>
      </c>
      <c r="D412" s="47">
        <v>1049622701</v>
      </c>
      <c r="E412" s="36" t="s">
        <v>261</v>
      </c>
      <c r="F412" s="37" t="s">
        <v>27</v>
      </c>
      <c r="G412" s="36">
        <v>3209471762</v>
      </c>
      <c r="H412" s="36">
        <v>4</v>
      </c>
      <c r="I412" s="38" t="s">
        <v>631</v>
      </c>
      <c r="J412" s="38" t="s">
        <v>631</v>
      </c>
      <c r="K412" s="36" t="s">
        <v>259</v>
      </c>
      <c r="L412" s="36"/>
      <c r="M412" s="39">
        <v>46035</v>
      </c>
      <c r="N412" s="38" t="s">
        <v>842</v>
      </c>
      <c r="O412" s="38" t="s">
        <v>380</v>
      </c>
      <c r="P412" s="38" t="s">
        <v>842</v>
      </c>
      <c r="Q412" s="38" t="s">
        <v>1559</v>
      </c>
      <c r="R412" s="38"/>
      <c r="S412" s="38" t="s">
        <v>259</v>
      </c>
    </row>
    <row r="413" spans="1:19" ht="19.2" hidden="1" x14ac:dyDescent="0.3">
      <c r="A413" s="47"/>
      <c r="B413" s="39">
        <v>46161</v>
      </c>
      <c r="C413" s="53" t="s">
        <v>1733</v>
      </c>
      <c r="D413" s="53">
        <v>1049645411</v>
      </c>
      <c r="E413" s="53" t="s">
        <v>1731</v>
      </c>
      <c r="F413" s="56" t="s">
        <v>1751</v>
      </c>
      <c r="G413" s="53" t="s">
        <v>1759</v>
      </c>
      <c r="H413" s="53">
        <v>3</v>
      </c>
      <c r="I413" s="38"/>
      <c r="J413" s="38"/>
      <c r="K413" s="38"/>
      <c r="L413" s="38" t="s">
        <v>1761</v>
      </c>
      <c r="M413" s="39">
        <v>46163</v>
      </c>
      <c r="N413" s="38" t="s">
        <v>1555</v>
      </c>
      <c r="O413" s="38"/>
      <c r="P413" s="38"/>
      <c r="Q413" s="38"/>
      <c r="R413" s="38"/>
      <c r="S413" s="38"/>
    </row>
    <row r="414" spans="1:19" ht="43.2" customHeight="1" x14ac:dyDescent="0.3">
      <c r="A414" s="47">
        <v>1051674009</v>
      </c>
      <c r="B414" s="39">
        <v>46056</v>
      </c>
      <c r="C414" s="36" t="s">
        <v>881</v>
      </c>
      <c r="D414" s="47">
        <v>1051674009</v>
      </c>
      <c r="E414" s="38" t="s">
        <v>101</v>
      </c>
      <c r="F414" s="37" t="s">
        <v>900</v>
      </c>
      <c r="G414" s="38">
        <v>3017582488</v>
      </c>
      <c r="H414" s="38">
        <v>4</v>
      </c>
      <c r="I414" s="38" t="s">
        <v>631</v>
      </c>
      <c r="J414" s="38" t="s">
        <v>631</v>
      </c>
      <c r="K414" s="38" t="s">
        <v>870</v>
      </c>
      <c r="L414" s="38"/>
      <c r="M414" s="39">
        <v>46062</v>
      </c>
      <c r="N414" s="38" t="s">
        <v>842</v>
      </c>
      <c r="O414" s="38" t="s">
        <v>390</v>
      </c>
      <c r="P414" s="38" t="s">
        <v>843</v>
      </c>
      <c r="Q414" s="38" t="s">
        <v>1561</v>
      </c>
      <c r="R414" s="38"/>
      <c r="S414" s="38"/>
    </row>
    <row r="415" spans="1:19" ht="19.2" x14ac:dyDescent="0.3">
      <c r="A415" s="47">
        <v>1052390618</v>
      </c>
      <c r="B415" s="39">
        <v>46133</v>
      </c>
      <c r="C415" s="36" t="s">
        <v>1632</v>
      </c>
      <c r="D415" s="47">
        <v>1052390618</v>
      </c>
      <c r="E415" s="38" t="s">
        <v>101</v>
      </c>
      <c r="F415" s="37" t="s">
        <v>1639</v>
      </c>
      <c r="G415" s="38">
        <v>3102736036</v>
      </c>
      <c r="H415" s="38">
        <v>3</v>
      </c>
      <c r="I415" s="38" t="s">
        <v>653</v>
      </c>
      <c r="J415" s="38" t="s">
        <v>716</v>
      </c>
      <c r="K415" s="38"/>
      <c r="L415" s="38" t="s">
        <v>1636</v>
      </c>
      <c r="M415" s="39"/>
      <c r="N415" s="38" t="s">
        <v>843</v>
      </c>
      <c r="O415" s="38" t="s">
        <v>390</v>
      </c>
      <c r="P415" s="38" t="s">
        <v>843</v>
      </c>
      <c r="Q415" s="38"/>
      <c r="R415" s="38"/>
      <c r="S415" s="38"/>
    </row>
    <row r="416" spans="1:19" ht="19.2" hidden="1" x14ac:dyDescent="0.3">
      <c r="A416" s="47">
        <v>1052407347</v>
      </c>
      <c r="B416" s="50">
        <v>46029</v>
      </c>
      <c r="C416" s="36" t="s">
        <v>24</v>
      </c>
      <c r="D416" s="47">
        <v>1052407347</v>
      </c>
      <c r="E416" s="36" t="s">
        <v>382</v>
      </c>
      <c r="F416" s="37" t="s">
        <v>25</v>
      </c>
      <c r="G416" s="36">
        <v>3213183418</v>
      </c>
      <c r="H416" s="36">
        <v>3</v>
      </c>
      <c r="I416" s="38" t="s">
        <v>653</v>
      </c>
      <c r="J416" s="38" t="s">
        <v>716</v>
      </c>
      <c r="K416" s="36" t="s">
        <v>444</v>
      </c>
      <c r="L416" s="36"/>
      <c r="M416" s="39">
        <v>46035</v>
      </c>
      <c r="N416" s="38" t="s">
        <v>842</v>
      </c>
      <c r="O416" s="38" t="s">
        <v>380</v>
      </c>
      <c r="P416" s="38" t="s">
        <v>843</v>
      </c>
      <c r="Q416" s="38" t="s">
        <v>1560</v>
      </c>
      <c r="R416" s="38"/>
      <c r="S416" s="38" t="s">
        <v>444</v>
      </c>
    </row>
    <row r="417" spans="1:19" ht="19.2" x14ac:dyDescent="0.3">
      <c r="A417" s="47">
        <v>1053604465</v>
      </c>
      <c r="B417" s="39">
        <v>46073</v>
      </c>
      <c r="C417" s="36" t="s">
        <v>1193</v>
      </c>
      <c r="D417" s="47">
        <v>1053604465</v>
      </c>
      <c r="E417" s="38" t="s">
        <v>101</v>
      </c>
      <c r="F417" s="37" t="s">
        <v>1194</v>
      </c>
      <c r="G417" s="38" t="s">
        <v>1195</v>
      </c>
      <c r="H417" s="38">
        <v>4</v>
      </c>
      <c r="I417" s="38" t="s">
        <v>661</v>
      </c>
      <c r="J417" s="38" t="s">
        <v>1292</v>
      </c>
      <c r="K417" s="38"/>
      <c r="L417" s="38" t="s">
        <v>1196</v>
      </c>
      <c r="M417" s="39">
        <v>46076</v>
      </c>
      <c r="N417" s="38" t="s">
        <v>843</v>
      </c>
      <c r="O417" s="38" t="s">
        <v>390</v>
      </c>
      <c r="P417" s="38" t="s">
        <v>1555</v>
      </c>
      <c r="Q417" s="38" t="s">
        <v>1558</v>
      </c>
      <c r="R417" s="38"/>
      <c r="S417" s="38"/>
    </row>
    <row r="418" spans="1:19" ht="19.2" x14ac:dyDescent="0.3">
      <c r="A418" s="47">
        <v>1053771238</v>
      </c>
      <c r="B418" s="39">
        <v>46073</v>
      </c>
      <c r="C418" s="36" t="s">
        <v>1251</v>
      </c>
      <c r="D418" s="47">
        <v>1053771238</v>
      </c>
      <c r="E418" s="38" t="s">
        <v>101</v>
      </c>
      <c r="F418" s="37" t="s">
        <v>1252</v>
      </c>
      <c r="G418" s="38">
        <v>3108025591</v>
      </c>
      <c r="H418" s="38">
        <v>5</v>
      </c>
      <c r="I418" s="38" t="s">
        <v>668</v>
      </c>
      <c r="J418" s="38" t="s">
        <v>912</v>
      </c>
      <c r="K418" s="38" t="s">
        <v>1228</v>
      </c>
      <c r="L418" s="38"/>
      <c r="M418" s="39">
        <v>46076</v>
      </c>
      <c r="N418" s="38" t="s">
        <v>842</v>
      </c>
      <c r="O418" s="38" t="s">
        <v>390</v>
      </c>
      <c r="P418" s="38" t="s">
        <v>1555</v>
      </c>
      <c r="Q418" s="38" t="s">
        <v>1561</v>
      </c>
      <c r="R418" s="38"/>
      <c r="S418" s="38"/>
    </row>
    <row r="419" spans="1:19" ht="19.2" x14ac:dyDescent="0.3">
      <c r="A419" s="47">
        <v>1053786431</v>
      </c>
      <c r="B419" s="39">
        <v>46041</v>
      </c>
      <c r="C419" s="36" t="s">
        <v>535</v>
      </c>
      <c r="D419" s="47">
        <v>1053786431</v>
      </c>
      <c r="E419" s="36" t="s">
        <v>349</v>
      </c>
      <c r="F419" s="37" t="s">
        <v>536</v>
      </c>
      <c r="G419" s="38">
        <v>3217654595</v>
      </c>
      <c r="H419" s="38">
        <v>2</v>
      </c>
      <c r="I419" s="38" t="s">
        <v>647</v>
      </c>
      <c r="J419" s="38" t="e">
        <v>#REF!</v>
      </c>
      <c r="K419" s="42"/>
      <c r="L419" s="38" t="s">
        <v>518</v>
      </c>
      <c r="M419" s="39">
        <v>46049</v>
      </c>
      <c r="N419" s="38" t="s">
        <v>843</v>
      </c>
      <c r="O419" s="38" t="s">
        <v>390</v>
      </c>
      <c r="P419" s="38" t="s">
        <v>843</v>
      </c>
      <c r="Q419" s="38" t="s">
        <v>1562</v>
      </c>
      <c r="R419" s="38"/>
      <c r="S419" s="38"/>
    </row>
    <row r="420" spans="1:19" ht="19.2" x14ac:dyDescent="0.3">
      <c r="A420" s="47">
        <v>1053788345</v>
      </c>
      <c r="B420" s="39">
        <v>46073</v>
      </c>
      <c r="C420" s="36" t="s">
        <v>1253</v>
      </c>
      <c r="D420" s="47">
        <v>1053788345</v>
      </c>
      <c r="E420" s="38" t="s">
        <v>101</v>
      </c>
      <c r="F420" s="37" t="s">
        <v>1254</v>
      </c>
      <c r="G420" s="38">
        <v>3113219834</v>
      </c>
      <c r="H420" s="38">
        <v>4</v>
      </c>
      <c r="I420" s="38" t="s">
        <v>661</v>
      </c>
      <c r="J420" s="38" t="s">
        <v>663</v>
      </c>
      <c r="K420" s="38" t="s">
        <v>1228</v>
      </c>
      <c r="L420" s="38"/>
      <c r="M420" s="39">
        <v>46076</v>
      </c>
      <c r="N420" s="38" t="s">
        <v>842</v>
      </c>
      <c r="O420" s="38" t="s">
        <v>390</v>
      </c>
      <c r="P420" s="38" t="s">
        <v>1555</v>
      </c>
      <c r="Q420" s="38" t="s">
        <v>1561</v>
      </c>
      <c r="R420" s="38"/>
      <c r="S420" s="38"/>
    </row>
    <row r="421" spans="1:19" ht="19.2" x14ac:dyDescent="0.3">
      <c r="A421" s="47">
        <v>1053798918</v>
      </c>
      <c r="B421" s="39">
        <v>46084</v>
      </c>
      <c r="C421" s="38" t="s">
        <v>1368</v>
      </c>
      <c r="D421" s="47">
        <v>1053798918</v>
      </c>
      <c r="E421" s="38" t="s">
        <v>349</v>
      </c>
      <c r="F421" s="37" t="s">
        <v>1371</v>
      </c>
      <c r="G421" s="53">
        <v>3104038288</v>
      </c>
      <c r="H421" s="38">
        <v>2</v>
      </c>
      <c r="I421" s="38" t="s">
        <v>975</v>
      </c>
      <c r="J421" s="38" t="e">
        <v>#REF!</v>
      </c>
      <c r="K421" s="38"/>
      <c r="L421" s="38" t="s">
        <v>1373</v>
      </c>
      <c r="M421" s="39"/>
      <c r="N421" s="38" t="s">
        <v>843</v>
      </c>
      <c r="O421" s="38" t="s">
        <v>390</v>
      </c>
      <c r="P421" s="38" t="s">
        <v>843</v>
      </c>
      <c r="Q421" s="38"/>
      <c r="R421" s="38"/>
      <c r="S421" s="38"/>
    </row>
    <row r="422" spans="1:19" ht="19.2" x14ac:dyDescent="0.3">
      <c r="A422" s="47">
        <v>1053842964</v>
      </c>
      <c r="B422" s="39">
        <v>46062</v>
      </c>
      <c r="C422" s="36" t="s">
        <v>1363</v>
      </c>
      <c r="D422" s="47">
        <v>1053842964</v>
      </c>
      <c r="E422" s="38" t="s">
        <v>349</v>
      </c>
      <c r="F422" s="37" t="s">
        <v>1365</v>
      </c>
      <c r="G422" s="38">
        <v>3167762808</v>
      </c>
      <c r="H422" s="38">
        <v>2</v>
      </c>
      <c r="I422" s="38">
        <v>0</v>
      </c>
      <c r="J422" s="38" t="e">
        <v>#REF!</v>
      </c>
      <c r="K422" s="38"/>
      <c r="L422" s="38" t="s">
        <v>1364</v>
      </c>
      <c r="M422" s="39"/>
      <c r="N422" s="38" t="s">
        <v>843</v>
      </c>
      <c r="O422" s="38" t="s">
        <v>390</v>
      </c>
      <c r="P422" s="38" t="s">
        <v>843</v>
      </c>
      <c r="Q422" s="38"/>
      <c r="R422" s="38"/>
      <c r="S422" s="38"/>
    </row>
    <row r="423" spans="1:19" ht="19.2" x14ac:dyDescent="0.3">
      <c r="A423" s="47">
        <v>1053857492</v>
      </c>
      <c r="B423" s="39">
        <v>46038</v>
      </c>
      <c r="C423" s="36" t="s">
        <v>578</v>
      </c>
      <c r="D423" s="47">
        <v>1053857492</v>
      </c>
      <c r="E423" s="36" t="s">
        <v>349</v>
      </c>
      <c r="F423" s="37" t="s">
        <v>493</v>
      </c>
      <c r="G423" s="38" t="s">
        <v>494</v>
      </c>
      <c r="H423" s="38">
        <v>2</v>
      </c>
      <c r="I423" s="38" t="s">
        <v>975</v>
      </c>
      <c r="J423" s="38" t="s">
        <v>976</v>
      </c>
      <c r="K423" s="38" t="s">
        <v>469</v>
      </c>
      <c r="L423" s="38"/>
      <c r="M423" s="39">
        <v>46049</v>
      </c>
      <c r="N423" s="38" t="s">
        <v>842</v>
      </c>
      <c r="O423" s="38" t="s">
        <v>390</v>
      </c>
      <c r="P423" s="38" t="s">
        <v>842</v>
      </c>
      <c r="Q423" s="38" t="s">
        <v>1559</v>
      </c>
      <c r="R423" s="38"/>
      <c r="S423" s="38" t="s">
        <v>469</v>
      </c>
    </row>
    <row r="424" spans="1:19" ht="19.2" x14ac:dyDescent="0.3">
      <c r="A424" s="47">
        <v>1056593123</v>
      </c>
      <c r="B424" s="39">
        <v>46038</v>
      </c>
      <c r="C424" s="36" t="s">
        <v>555</v>
      </c>
      <c r="D424" s="47">
        <v>1056593123</v>
      </c>
      <c r="E424" s="36" t="s">
        <v>101</v>
      </c>
      <c r="F424" s="37" t="s">
        <v>495</v>
      </c>
      <c r="G424" s="38">
        <v>3212782814</v>
      </c>
      <c r="H424" s="38">
        <v>4</v>
      </c>
      <c r="I424" s="38" t="s">
        <v>653</v>
      </c>
      <c r="J424" s="38" t="s">
        <v>695</v>
      </c>
      <c r="K424" s="38" t="s">
        <v>469</v>
      </c>
      <c r="L424" s="38"/>
      <c r="M424" s="39">
        <v>46049</v>
      </c>
      <c r="N424" s="38" t="s">
        <v>842</v>
      </c>
      <c r="O424" s="38" t="s">
        <v>390</v>
      </c>
      <c r="P424" s="38" t="s">
        <v>842</v>
      </c>
      <c r="Q424" s="38" t="s">
        <v>1559</v>
      </c>
      <c r="R424" s="38"/>
      <c r="S424" s="38" t="s">
        <v>469</v>
      </c>
    </row>
    <row r="425" spans="1:19" ht="19.2" hidden="1" x14ac:dyDescent="0.3">
      <c r="A425" s="47">
        <v>1056931104</v>
      </c>
      <c r="B425" s="49">
        <v>46020</v>
      </c>
      <c r="C425" s="36" t="s">
        <v>157</v>
      </c>
      <c r="D425" s="47">
        <v>1056931104</v>
      </c>
      <c r="E425" s="36" t="s">
        <v>384</v>
      </c>
      <c r="F425" s="37" t="s">
        <v>158</v>
      </c>
      <c r="G425" s="36">
        <v>3232093324</v>
      </c>
      <c r="H425" s="36">
        <v>3</v>
      </c>
      <c r="I425" s="38" t="s">
        <v>707</v>
      </c>
      <c r="J425" s="38" t="s">
        <v>708</v>
      </c>
      <c r="K425" s="36" t="s">
        <v>245</v>
      </c>
      <c r="L425" s="36"/>
      <c r="M425" s="39">
        <v>46035</v>
      </c>
      <c r="N425" s="38" t="s">
        <v>842</v>
      </c>
      <c r="O425" s="38" t="s">
        <v>380</v>
      </c>
      <c r="P425" s="38" t="s">
        <v>842</v>
      </c>
      <c r="Q425" s="38" t="s">
        <v>1559</v>
      </c>
      <c r="R425" s="38"/>
      <c r="S425" s="38" t="s">
        <v>245</v>
      </c>
    </row>
    <row r="426" spans="1:19" ht="43.2" customHeight="1" x14ac:dyDescent="0.3">
      <c r="A426" s="47">
        <v>1057164219</v>
      </c>
      <c r="B426" s="39">
        <v>46056</v>
      </c>
      <c r="C426" s="36" t="s">
        <v>868</v>
      </c>
      <c r="D426" s="47">
        <v>1057164219</v>
      </c>
      <c r="E426" s="38" t="s">
        <v>101</v>
      </c>
      <c r="F426" s="37" t="s">
        <v>889</v>
      </c>
      <c r="G426" s="38">
        <v>3204214477</v>
      </c>
      <c r="H426" s="38">
        <v>4</v>
      </c>
      <c r="I426" s="38" t="s">
        <v>631</v>
      </c>
      <c r="J426" s="38" t="s">
        <v>631</v>
      </c>
      <c r="K426" s="38"/>
      <c r="L426" s="38" t="s">
        <v>869</v>
      </c>
      <c r="M426" s="39">
        <v>46062</v>
      </c>
      <c r="N426" s="38" t="s">
        <v>843</v>
      </c>
      <c r="O426" s="38" t="s">
        <v>390</v>
      </c>
      <c r="P426" s="38" t="s">
        <v>843</v>
      </c>
      <c r="Q426" s="38" t="s">
        <v>1558</v>
      </c>
      <c r="R426" s="38" t="s">
        <v>1581</v>
      </c>
      <c r="S426" s="38"/>
    </row>
    <row r="427" spans="1:19" ht="57.6" customHeight="1" x14ac:dyDescent="0.3">
      <c r="A427" s="47">
        <v>1057591703</v>
      </c>
      <c r="B427" s="39">
        <v>46056</v>
      </c>
      <c r="C427" s="36" t="s">
        <v>949</v>
      </c>
      <c r="D427" s="47">
        <v>1057591703</v>
      </c>
      <c r="E427" s="38" t="s">
        <v>349</v>
      </c>
      <c r="F427" s="37" t="s">
        <v>960</v>
      </c>
      <c r="G427" s="38">
        <v>3194067749</v>
      </c>
      <c r="H427" s="38">
        <v>5</v>
      </c>
      <c r="I427" s="38" t="s">
        <v>657</v>
      </c>
      <c r="J427" s="38" t="e">
        <v>#REF!</v>
      </c>
      <c r="K427" s="38" t="s">
        <v>942</v>
      </c>
      <c r="L427" s="38"/>
      <c r="M427" s="39">
        <v>46063</v>
      </c>
      <c r="N427" s="38" t="s">
        <v>842</v>
      </c>
      <c r="O427" s="38" t="s">
        <v>390</v>
      </c>
      <c r="P427" s="38" t="s">
        <v>843</v>
      </c>
      <c r="Q427" s="38" t="s">
        <v>1561</v>
      </c>
      <c r="R427" s="38"/>
      <c r="S427" s="38"/>
    </row>
    <row r="428" spans="1:19" ht="43.2" customHeight="1" x14ac:dyDescent="0.3">
      <c r="A428" s="47">
        <v>1059596883</v>
      </c>
      <c r="B428" s="39">
        <v>46106</v>
      </c>
      <c r="C428" s="36" t="s">
        <v>1496</v>
      </c>
      <c r="D428" s="47">
        <v>1059596883</v>
      </c>
      <c r="E428" s="38" t="s">
        <v>101</v>
      </c>
      <c r="F428" s="37" t="s">
        <v>1508</v>
      </c>
      <c r="G428" s="38">
        <v>3003767487</v>
      </c>
      <c r="H428" s="38">
        <v>5</v>
      </c>
      <c r="I428" s="38" t="s">
        <v>634</v>
      </c>
      <c r="J428" s="38" t="s">
        <v>1521</v>
      </c>
      <c r="K428" s="38" t="s">
        <v>1523</v>
      </c>
      <c r="L428" s="38"/>
      <c r="M428" s="39"/>
      <c r="N428" s="38" t="s">
        <v>842</v>
      </c>
      <c r="O428" s="38" t="s">
        <v>390</v>
      </c>
      <c r="P428" s="38" t="s">
        <v>843</v>
      </c>
      <c r="Q428" s="38"/>
      <c r="R428" s="38"/>
      <c r="S428" s="38"/>
    </row>
    <row r="429" spans="1:19" ht="43.2" customHeight="1" x14ac:dyDescent="0.3">
      <c r="A429" s="47">
        <v>1059597100</v>
      </c>
      <c r="B429" s="39">
        <v>46097</v>
      </c>
      <c r="C429" s="38" t="s">
        <v>1445</v>
      </c>
      <c r="D429" s="47">
        <v>1059597100</v>
      </c>
      <c r="E429" s="36" t="s">
        <v>101</v>
      </c>
      <c r="F429" s="37" t="s">
        <v>1482</v>
      </c>
      <c r="G429" s="38">
        <v>3178950032</v>
      </c>
      <c r="H429" s="38">
        <v>5</v>
      </c>
      <c r="I429" s="38" t="s">
        <v>634</v>
      </c>
      <c r="J429" s="38" t="e">
        <v>#REF!</v>
      </c>
      <c r="K429" s="38" t="s">
        <v>1418</v>
      </c>
      <c r="L429" s="38"/>
      <c r="M429" s="39"/>
      <c r="N429" s="38" t="s">
        <v>842</v>
      </c>
      <c r="O429" s="38" t="s">
        <v>390</v>
      </c>
      <c r="P429" s="38" t="s">
        <v>842</v>
      </c>
      <c r="Q429" s="38"/>
      <c r="R429" s="38"/>
      <c r="S429" s="38"/>
    </row>
    <row r="430" spans="1:19" ht="43.2" customHeight="1" x14ac:dyDescent="0.3">
      <c r="A430" s="47">
        <v>1059698203</v>
      </c>
      <c r="B430" s="39">
        <v>46133</v>
      </c>
      <c r="C430" s="36" t="s">
        <v>1634</v>
      </c>
      <c r="D430" s="47">
        <v>1059698203</v>
      </c>
      <c r="E430" s="38" t="s">
        <v>101</v>
      </c>
      <c r="F430" s="37" t="s">
        <v>1641</v>
      </c>
      <c r="G430" s="38">
        <v>3122832537</v>
      </c>
      <c r="H430" s="38">
        <v>2</v>
      </c>
      <c r="I430" s="38" t="s">
        <v>975</v>
      </c>
      <c r="J430" s="38" t="s">
        <v>1644</v>
      </c>
      <c r="K430" s="38"/>
      <c r="L430" s="38" t="s">
        <v>1636</v>
      </c>
      <c r="M430" s="39"/>
      <c r="N430" s="38" t="s">
        <v>843</v>
      </c>
      <c r="O430" s="38" t="s">
        <v>390</v>
      </c>
      <c r="P430" s="38" t="s">
        <v>843</v>
      </c>
      <c r="Q430" s="38"/>
      <c r="R430" s="38"/>
      <c r="S430" s="38"/>
    </row>
    <row r="431" spans="1:19" ht="43.2" customHeight="1" x14ac:dyDescent="0.3">
      <c r="A431" s="47">
        <v>1061689940</v>
      </c>
      <c r="B431" s="39">
        <v>46062</v>
      </c>
      <c r="C431" s="36" t="s">
        <v>1075</v>
      </c>
      <c r="D431" s="47">
        <v>1061689940</v>
      </c>
      <c r="E431" s="38" t="s">
        <v>101</v>
      </c>
      <c r="F431" s="37" t="s">
        <v>1076</v>
      </c>
      <c r="G431" s="38">
        <v>3116316481</v>
      </c>
      <c r="H431" s="38">
        <v>5</v>
      </c>
      <c r="I431" s="38" t="s">
        <v>634</v>
      </c>
      <c r="J431" s="38" t="e">
        <v>#REF!</v>
      </c>
      <c r="K431" s="38" t="s">
        <v>1064</v>
      </c>
      <c r="L431" s="38"/>
      <c r="M431" s="39">
        <v>46072</v>
      </c>
      <c r="N431" s="38" t="s">
        <v>842</v>
      </c>
      <c r="O431" s="38" t="s">
        <v>390</v>
      </c>
      <c r="P431" s="38" t="s">
        <v>843</v>
      </c>
      <c r="Q431" s="38" t="s">
        <v>1561</v>
      </c>
      <c r="R431" s="38"/>
      <c r="S431" s="38"/>
    </row>
    <row r="432" spans="1:19" ht="43.2" customHeight="1" x14ac:dyDescent="0.3">
      <c r="A432" s="47">
        <v>1061719113</v>
      </c>
      <c r="B432" s="39">
        <v>46038</v>
      </c>
      <c r="C432" s="36" t="s">
        <v>579</v>
      </c>
      <c r="D432" s="47">
        <v>1061719113</v>
      </c>
      <c r="E432" s="36" t="s">
        <v>349</v>
      </c>
      <c r="F432" s="37" t="s">
        <v>496</v>
      </c>
      <c r="G432" s="38">
        <v>3167593009</v>
      </c>
      <c r="H432" s="38">
        <v>5</v>
      </c>
      <c r="I432" s="38" t="s">
        <v>634</v>
      </c>
      <c r="J432" s="38" t="s">
        <v>635</v>
      </c>
      <c r="K432" s="38" t="s">
        <v>469</v>
      </c>
      <c r="L432" s="38"/>
      <c r="M432" s="39">
        <v>46049</v>
      </c>
      <c r="N432" s="38" t="s">
        <v>842</v>
      </c>
      <c r="O432" s="38" t="s">
        <v>390</v>
      </c>
      <c r="P432" s="38" t="s">
        <v>842</v>
      </c>
      <c r="Q432" s="38" t="s">
        <v>1559</v>
      </c>
      <c r="R432" s="38"/>
      <c r="S432" s="38" t="s">
        <v>469</v>
      </c>
    </row>
    <row r="433" spans="1:19" ht="43.2" customHeight="1" x14ac:dyDescent="0.3">
      <c r="A433" s="47">
        <v>1061723865</v>
      </c>
      <c r="B433" s="39">
        <v>46133</v>
      </c>
      <c r="C433" s="36" t="s">
        <v>1652</v>
      </c>
      <c r="D433" s="47">
        <v>1061723865</v>
      </c>
      <c r="E433" s="38" t="s">
        <v>101</v>
      </c>
      <c r="F433" s="37" t="s">
        <v>1663</v>
      </c>
      <c r="G433" s="38" t="s">
        <v>1669</v>
      </c>
      <c r="H433" s="38">
        <v>2</v>
      </c>
      <c r="I433" s="38" t="s">
        <v>652</v>
      </c>
      <c r="J433" s="38" t="s">
        <v>1670</v>
      </c>
      <c r="K433" s="38" t="s">
        <v>1656</v>
      </c>
      <c r="L433" s="38"/>
      <c r="M433" s="39"/>
      <c r="N433" s="38" t="s">
        <v>842</v>
      </c>
      <c r="O433" s="38" t="s">
        <v>390</v>
      </c>
      <c r="P433" s="38" t="s">
        <v>843</v>
      </c>
      <c r="Q433" s="38"/>
      <c r="R433" s="38"/>
      <c r="S433" s="38"/>
    </row>
    <row r="434" spans="1:19" ht="57.6" customHeight="1" x14ac:dyDescent="0.3">
      <c r="A434" s="47">
        <v>1061790676</v>
      </c>
      <c r="B434" s="39">
        <v>46041</v>
      </c>
      <c r="C434" s="36" t="s">
        <v>583</v>
      </c>
      <c r="D434" s="47">
        <v>1061790676</v>
      </c>
      <c r="E434" s="36" t="s">
        <v>349</v>
      </c>
      <c r="F434" s="37" t="s">
        <v>418</v>
      </c>
      <c r="G434" s="38">
        <v>3136508565</v>
      </c>
      <c r="H434" s="38">
        <v>5</v>
      </c>
      <c r="I434" s="38" t="s">
        <v>634</v>
      </c>
      <c r="J434" s="38" t="s">
        <v>635</v>
      </c>
      <c r="K434" s="38" t="s">
        <v>407</v>
      </c>
      <c r="L434" s="38"/>
      <c r="M434" s="39">
        <v>46049</v>
      </c>
      <c r="N434" s="38" t="s">
        <v>842</v>
      </c>
      <c r="O434" s="38" t="s">
        <v>390</v>
      </c>
      <c r="P434" s="38" t="s">
        <v>842</v>
      </c>
      <c r="Q434" s="38" t="s">
        <v>1559</v>
      </c>
      <c r="R434" s="38"/>
      <c r="S434" s="38" t="s">
        <v>407</v>
      </c>
    </row>
    <row r="435" spans="1:19" ht="19.2" hidden="1" x14ac:dyDescent="0.3">
      <c r="A435" s="47">
        <v>1061809363</v>
      </c>
      <c r="B435" s="49">
        <v>46020</v>
      </c>
      <c r="C435" s="36" t="s">
        <v>166</v>
      </c>
      <c r="D435" s="47">
        <v>1061809363</v>
      </c>
      <c r="E435" s="36" t="s">
        <v>384</v>
      </c>
      <c r="F435" s="37" t="s">
        <v>167</v>
      </c>
      <c r="G435" s="36" t="s">
        <v>168</v>
      </c>
      <c r="H435" s="36">
        <v>5</v>
      </c>
      <c r="I435" s="38" t="s">
        <v>715</v>
      </c>
      <c r="J435" s="38" t="s">
        <v>635</v>
      </c>
      <c r="K435" s="36" t="s">
        <v>245</v>
      </c>
      <c r="L435" s="36"/>
      <c r="M435" s="39">
        <v>46035</v>
      </c>
      <c r="N435" s="38" t="s">
        <v>842</v>
      </c>
      <c r="O435" s="38" t="s">
        <v>380</v>
      </c>
      <c r="P435" s="38" t="s">
        <v>842</v>
      </c>
      <c r="Q435" s="38" t="s">
        <v>1559</v>
      </c>
      <c r="R435" s="38"/>
      <c r="S435" s="38" t="s">
        <v>245</v>
      </c>
    </row>
    <row r="436" spans="1:19" ht="19.2" hidden="1" x14ac:dyDescent="0.3">
      <c r="A436" s="47">
        <v>1061811984</v>
      </c>
      <c r="B436" s="39">
        <v>46056</v>
      </c>
      <c r="C436" s="36" t="s">
        <v>939</v>
      </c>
      <c r="D436" s="47">
        <v>1061811984</v>
      </c>
      <c r="E436" s="38" t="s">
        <v>384</v>
      </c>
      <c r="F436" s="37" t="s">
        <v>944</v>
      </c>
      <c r="G436" s="38">
        <v>3132467922</v>
      </c>
      <c r="H436" s="38">
        <v>5</v>
      </c>
      <c r="I436" s="38" t="s">
        <v>634</v>
      </c>
      <c r="J436" s="38" t="s">
        <v>635</v>
      </c>
      <c r="K436" s="38" t="s">
        <v>994</v>
      </c>
      <c r="L436" s="38" t="s">
        <v>936</v>
      </c>
      <c r="M436" s="39">
        <v>46063</v>
      </c>
      <c r="N436" s="38" t="s">
        <v>842</v>
      </c>
      <c r="O436" s="38" t="s">
        <v>380</v>
      </c>
      <c r="P436" s="38" t="s">
        <v>843</v>
      </c>
      <c r="Q436" s="38" t="s">
        <v>1561</v>
      </c>
      <c r="R436" s="38"/>
      <c r="S436" s="38"/>
    </row>
    <row r="437" spans="1:19" ht="19.2" customHeight="1" x14ac:dyDescent="0.2">
      <c r="A437" s="47">
        <v>1061819481</v>
      </c>
      <c r="B437" s="48">
        <v>46050</v>
      </c>
      <c r="C437" s="36" t="s">
        <v>797</v>
      </c>
      <c r="D437" s="47">
        <v>1061819481</v>
      </c>
      <c r="E437" s="36" t="s">
        <v>101</v>
      </c>
      <c r="F437" s="37" t="s">
        <v>798</v>
      </c>
      <c r="G437" s="36">
        <v>3126584780</v>
      </c>
      <c r="H437" s="52">
        <v>4</v>
      </c>
      <c r="I437" s="38" t="s">
        <v>634</v>
      </c>
      <c r="J437" s="38" t="e">
        <v>#REF!</v>
      </c>
      <c r="K437" s="52" t="s">
        <v>1017</v>
      </c>
      <c r="L437" s="52" t="s">
        <v>836</v>
      </c>
      <c r="M437" s="39">
        <v>46062</v>
      </c>
      <c r="N437" s="38" t="s">
        <v>842</v>
      </c>
      <c r="O437" s="38" t="s">
        <v>390</v>
      </c>
      <c r="P437" s="38" t="s">
        <v>842</v>
      </c>
      <c r="Q437" s="38" t="s">
        <v>1559</v>
      </c>
      <c r="R437" s="38" t="s">
        <v>1587</v>
      </c>
      <c r="S437" s="38" t="s">
        <v>1017</v>
      </c>
    </row>
    <row r="438" spans="1:19" ht="28.8" x14ac:dyDescent="0.3">
      <c r="A438" s="47">
        <v>1062281470</v>
      </c>
      <c r="B438" s="39">
        <v>46073</v>
      </c>
      <c r="C438" s="36" t="s">
        <v>1261</v>
      </c>
      <c r="D438" s="47">
        <v>1062281470</v>
      </c>
      <c r="E438" s="38" t="s">
        <v>101</v>
      </c>
      <c r="F438" s="37" t="s">
        <v>1262</v>
      </c>
      <c r="G438" s="38" t="s">
        <v>1263</v>
      </c>
      <c r="H438" s="38">
        <v>5</v>
      </c>
      <c r="I438" s="38" t="s">
        <v>634</v>
      </c>
      <c r="J438" s="38" t="s">
        <v>656</v>
      </c>
      <c r="K438" s="38" t="s">
        <v>1228</v>
      </c>
      <c r="L438" s="38"/>
      <c r="M438" s="39">
        <v>46076</v>
      </c>
      <c r="N438" s="38" t="s">
        <v>842</v>
      </c>
      <c r="O438" s="38" t="s">
        <v>390</v>
      </c>
      <c r="P438" s="38" t="s">
        <v>1555</v>
      </c>
      <c r="Q438" s="38" t="s">
        <v>1561</v>
      </c>
      <c r="R438" s="38"/>
      <c r="S438" s="38"/>
    </row>
    <row r="439" spans="1:19" ht="19.2" x14ac:dyDescent="0.3">
      <c r="A439" s="47">
        <v>1063149403</v>
      </c>
      <c r="B439" s="39">
        <v>46041</v>
      </c>
      <c r="C439" s="36" t="s">
        <v>571</v>
      </c>
      <c r="D439" s="47">
        <v>1063149403</v>
      </c>
      <c r="E439" s="36" t="s">
        <v>101</v>
      </c>
      <c r="F439" s="37" t="s">
        <v>443</v>
      </c>
      <c r="G439" s="38">
        <v>3102603465</v>
      </c>
      <c r="H439" s="38">
        <v>1</v>
      </c>
      <c r="I439" s="38" t="s">
        <v>641</v>
      </c>
      <c r="J439" s="38" t="s">
        <v>696</v>
      </c>
      <c r="K439" s="38" t="s">
        <v>407</v>
      </c>
      <c r="L439" s="38"/>
      <c r="M439" s="39">
        <v>46049</v>
      </c>
      <c r="N439" s="38" t="s">
        <v>842</v>
      </c>
      <c r="O439" s="38" t="s">
        <v>390</v>
      </c>
      <c r="P439" s="38" t="s">
        <v>842</v>
      </c>
      <c r="Q439" s="38" t="s">
        <v>1559</v>
      </c>
      <c r="R439" s="38"/>
      <c r="S439" s="38" t="s">
        <v>407</v>
      </c>
    </row>
    <row r="440" spans="1:19" ht="19.2" hidden="1" x14ac:dyDescent="0.3">
      <c r="A440" s="47">
        <v>1063172600</v>
      </c>
      <c r="B440" s="39">
        <v>46035</v>
      </c>
      <c r="C440" s="36" t="s">
        <v>347</v>
      </c>
      <c r="D440" s="47">
        <v>1063172600</v>
      </c>
      <c r="E440" s="36" t="s">
        <v>261</v>
      </c>
      <c r="F440" s="37" t="s">
        <v>150</v>
      </c>
      <c r="G440" s="38">
        <v>3008477350</v>
      </c>
      <c r="H440" s="38">
        <v>1</v>
      </c>
      <c r="I440" s="38" t="s">
        <v>641</v>
      </c>
      <c r="J440" s="38" t="s">
        <v>696</v>
      </c>
      <c r="K440" s="38" t="s">
        <v>466</v>
      </c>
      <c r="L440" s="38"/>
      <c r="M440" s="39">
        <v>46043</v>
      </c>
      <c r="N440" s="38" t="s">
        <v>842</v>
      </c>
      <c r="O440" s="38" t="s">
        <v>380</v>
      </c>
      <c r="P440" s="38" t="s">
        <v>843</v>
      </c>
      <c r="Q440" s="38" t="s">
        <v>1561</v>
      </c>
      <c r="R440" s="38"/>
      <c r="S440" s="38" t="s">
        <v>466</v>
      </c>
    </row>
    <row r="441" spans="1:19" ht="19.2" hidden="1" customHeight="1" x14ac:dyDescent="0.2">
      <c r="A441" s="47"/>
      <c r="B441" s="39">
        <v>46161</v>
      </c>
      <c r="C441" s="53" t="s">
        <v>1730</v>
      </c>
      <c r="D441" s="53">
        <v>1064711593</v>
      </c>
      <c r="E441" s="53" t="s">
        <v>1731</v>
      </c>
      <c r="F441" s="56" t="s">
        <v>1749</v>
      </c>
      <c r="G441" s="53" t="s">
        <v>1758</v>
      </c>
      <c r="H441" s="53">
        <v>1</v>
      </c>
      <c r="I441" s="38"/>
      <c r="J441" s="38"/>
      <c r="K441" s="57" t="s">
        <v>1760</v>
      </c>
      <c r="L441" s="38"/>
      <c r="M441" s="39">
        <v>46163</v>
      </c>
      <c r="N441" s="38" t="s">
        <v>1705</v>
      </c>
      <c r="O441" s="38"/>
      <c r="P441" s="38"/>
      <c r="Q441" s="38"/>
      <c r="R441" s="38"/>
      <c r="S441" s="38"/>
    </row>
    <row r="442" spans="1:19" ht="19.2" x14ac:dyDescent="0.3">
      <c r="A442" s="47">
        <v>1064836303</v>
      </c>
      <c r="B442" s="39">
        <v>46038</v>
      </c>
      <c r="C442" s="36" t="s">
        <v>556</v>
      </c>
      <c r="D442" s="47">
        <v>1064836303</v>
      </c>
      <c r="E442" s="36" t="s">
        <v>101</v>
      </c>
      <c r="F442" s="37" t="s">
        <v>497</v>
      </c>
      <c r="G442" s="38">
        <v>3154192262</v>
      </c>
      <c r="H442" s="38">
        <v>3</v>
      </c>
      <c r="I442" s="38" t="s">
        <v>676</v>
      </c>
      <c r="J442" s="38" t="s">
        <v>677</v>
      </c>
      <c r="K442" s="38" t="s">
        <v>469</v>
      </c>
      <c r="L442" s="38"/>
      <c r="M442" s="39">
        <v>46049</v>
      </c>
      <c r="N442" s="38" t="s">
        <v>842</v>
      </c>
      <c r="O442" s="38" t="s">
        <v>390</v>
      </c>
      <c r="P442" s="38" t="s">
        <v>842</v>
      </c>
      <c r="Q442" s="38" t="s">
        <v>1560</v>
      </c>
      <c r="R442" s="38" t="s">
        <v>1571</v>
      </c>
      <c r="S442" s="38" t="s">
        <v>469</v>
      </c>
    </row>
    <row r="443" spans="1:19" ht="19.2" x14ac:dyDescent="0.3">
      <c r="A443" s="47">
        <v>1064986436</v>
      </c>
      <c r="B443" s="51">
        <v>46032</v>
      </c>
      <c r="C443" s="36" t="s">
        <v>307</v>
      </c>
      <c r="D443" s="47">
        <v>1064986436</v>
      </c>
      <c r="E443" s="36" t="s">
        <v>349</v>
      </c>
      <c r="F443" s="37" t="s">
        <v>308</v>
      </c>
      <c r="G443" s="38">
        <v>3004725119</v>
      </c>
      <c r="H443" s="38">
        <v>1</v>
      </c>
      <c r="I443" s="38" t="s">
        <v>693</v>
      </c>
      <c r="J443" s="38" t="s">
        <v>694</v>
      </c>
      <c r="K443" s="38" t="s">
        <v>266</v>
      </c>
      <c r="L443" s="38"/>
      <c r="M443" s="39">
        <v>46039</v>
      </c>
      <c r="N443" s="38" t="s">
        <v>842</v>
      </c>
      <c r="O443" s="38" t="s">
        <v>390</v>
      </c>
      <c r="P443" s="38" t="s">
        <v>842</v>
      </c>
      <c r="Q443" s="38" t="s">
        <v>1559</v>
      </c>
      <c r="R443" s="38"/>
      <c r="S443" s="38" t="s">
        <v>266</v>
      </c>
    </row>
    <row r="444" spans="1:19" ht="39.6" hidden="1" customHeight="1" x14ac:dyDescent="0.3">
      <c r="A444" s="47">
        <v>1065595926</v>
      </c>
      <c r="B444" s="39">
        <v>46133</v>
      </c>
      <c r="C444" s="36" t="s">
        <v>1674</v>
      </c>
      <c r="D444" s="47">
        <v>1065595926</v>
      </c>
      <c r="E444" s="36" t="s">
        <v>383</v>
      </c>
      <c r="F444" s="37" t="s">
        <v>1681</v>
      </c>
      <c r="G444" s="38">
        <v>3007792215</v>
      </c>
      <c r="H444" s="38">
        <v>1</v>
      </c>
      <c r="I444" s="38" t="s">
        <v>638</v>
      </c>
      <c r="J444" s="38" t="s">
        <v>639</v>
      </c>
      <c r="K444" s="38" t="s">
        <v>1686</v>
      </c>
      <c r="L444" s="38"/>
      <c r="M444" s="39"/>
      <c r="N444" s="38" t="s">
        <v>842</v>
      </c>
      <c r="O444" s="38" t="s">
        <v>380</v>
      </c>
      <c r="P444" s="38" t="s">
        <v>843</v>
      </c>
      <c r="Q444" s="38"/>
      <c r="R444" s="38"/>
      <c r="S444" s="38"/>
    </row>
    <row r="445" spans="1:19" ht="19.2" x14ac:dyDescent="0.3">
      <c r="A445" s="55">
        <v>1065600677</v>
      </c>
      <c r="B445" s="51">
        <v>46149</v>
      </c>
      <c r="C445" s="45" t="s">
        <v>1696</v>
      </c>
      <c r="D445" s="55">
        <v>1065600677</v>
      </c>
      <c r="E445" s="45" t="s">
        <v>1700</v>
      </c>
      <c r="F445" s="37" t="s">
        <v>1701</v>
      </c>
      <c r="G445" s="38"/>
      <c r="H445" s="45">
        <v>1</v>
      </c>
      <c r="I445" s="38" t="s">
        <v>638</v>
      </c>
      <c r="J445" s="38"/>
      <c r="K445" s="38" t="s">
        <v>1694</v>
      </c>
      <c r="L445" s="38"/>
      <c r="M445" s="39">
        <v>46153</v>
      </c>
      <c r="N445" s="38" t="s">
        <v>1705</v>
      </c>
      <c r="O445" s="38"/>
      <c r="P445" s="38" t="s">
        <v>843</v>
      </c>
      <c r="Q445" s="38"/>
      <c r="R445" s="38"/>
      <c r="S445" s="38"/>
    </row>
    <row r="446" spans="1:19" ht="19.2" x14ac:dyDescent="0.3">
      <c r="A446" s="47">
        <v>1065606527</v>
      </c>
      <c r="B446" s="39">
        <v>46125</v>
      </c>
      <c r="C446" s="36" t="s">
        <v>1609</v>
      </c>
      <c r="D446" s="47">
        <v>1065606527</v>
      </c>
      <c r="E446" s="38" t="s">
        <v>101</v>
      </c>
      <c r="F446" s="37" t="s">
        <v>1619</v>
      </c>
      <c r="G446" s="38">
        <v>7273648</v>
      </c>
      <c r="H446" s="38">
        <v>1</v>
      </c>
      <c r="I446" s="38" t="s">
        <v>638</v>
      </c>
      <c r="J446" s="38" t="s">
        <v>725</v>
      </c>
      <c r="K446" s="38" t="s">
        <v>1615</v>
      </c>
      <c r="L446" s="38"/>
      <c r="M446" s="39"/>
      <c r="N446" s="38" t="s">
        <v>842</v>
      </c>
      <c r="O446" s="38" t="s">
        <v>390</v>
      </c>
      <c r="P446" s="38" t="s">
        <v>843</v>
      </c>
      <c r="Q446" s="38"/>
      <c r="R446" s="38"/>
      <c r="S446" s="38"/>
    </row>
    <row r="447" spans="1:19" ht="19.2" hidden="1" x14ac:dyDescent="0.3">
      <c r="A447" s="47">
        <v>1065836266</v>
      </c>
      <c r="B447" s="48">
        <v>46025</v>
      </c>
      <c r="C447" s="36" t="s">
        <v>74</v>
      </c>
      <c r="D447" s="47">
        <v>1065836266</v>
      </c>
      <c r="E447" s="36" t="s">
        <v>382</v>
      </c>
      <c r="F447" s="37" t="s">
        <v>75</v>
      </c>
      <c r="G447" s="36">
        <v>3137899900</v>
      </c>
      <c r="H447" s="36">
        <v>1</v>
      </c>
      <c r="I447" s="38" t="s">
        <v>639</v>
      </c>
      <c r="J447" s="38" t="s">
        <v>638</v>
      </c>
      <c r="K447" s="40"/>
      <c r="L447" s="36" t="s">
        <v>257</v>
      </c>
      <c r="M447" s="39">
        <v>46035</v>
      </c>
      <c r="N447" s="38" t="s">
        <v>843</v>
      </c>
      <c r="O447" s="38" t="s">
        <v>380</v>
      </c>
      <c r="P447" s="38" t="s">
        <v>843</v>
      </c>
      <c r="Q447" s="38" t="s">
        <v>1558</v>
      </c>
      <c r="R447" s="38"/>
      <c r="S447" s="38"/>
    </row>
    <row r="448" spans="1:19" ht="19.2" x14ac:dyDescent="0.3">
      <c r="A448" s="47">
        <v>1065852706</v>
      </c>
      <c r="B448" s="51">
        <v>46032</v>
      </c>
      <c r="C448" s="36" t="s">
        <v>269</v>
      </c>
      <c r="D448" s="47">
        <v>1065852706</v>
      </c>
      <c r="E448" s="36" t="s">
        <v>101</v>
      </c>
      <c r="F448" s="37" t="s">
        <v>270</v>
      </c>
      <c r="G448" s="38">
        <v>3168965334</v>
      </c>
      <c r="H448" s="38">
        <v>1</v>
      </c>
      <c r="I448" s="38" t="s">
        <v>638</v>
      </c>
      <c r="J448" s="38" t="e">
        <v>#REF!</v>
      </c>
      <c r="K448" s="42"/>
      <c r="L448" s="38" t="s">
        <v>271</v>
      </c>
      <c r="M448" s="39">
        <v>46039</v>
      </c>
      <c r="N448" s="38" t="s">
        <v>843</v>
      </c>
      <c r="O448" s="38" t="s">
        <v>390</v>
      </c>
      <c r="P448" s="38" t="s">
        <v>843</v>
      </c>
      <c r="Q448" s="38" t="s">
        <v>1558</v>
      </c>
      <c r="R448" s="38"/>
      <c r="S448" s="38"/>
    </row>
    <row r="449" spans="1:19" ht="43.2" customHeight="1" x14ac:dyDescent="0.3">
      <c r="A449" s="47">
        <v>1065875433</v>
      </c>
      <c r="B449" s="50">
        <v>46029</v>
      </c>
      <c r="C449" s="36" t="s">
        <v>56</v>
      </c>
      <c r="D449" s="47">
        <v>1065875433</v>
      </c>
      <c r="E449" s="36" t="s">
        <v>101</v>
      </c>
      <c r="F449" s="37" t="s">
        <v>57</v>
      </c>
      <c r="G449" s="36">
        <v>3172136009</v>
      </c>
      <c r="H449" s="36">
        <v>1</v>
      </c>
      <c r="I449" s="38" t="s">
        <v>638</v>
      </c>
      <c r="J449" s="38" t="s">
        <v>685</v>
      </c>
      <c r="K449" s="36" t="s">
        <v>258</v>
      </c>
      <c r="L449" s="36"/>
      <c r="M449" s="39">
        <v>46035</v>
      </c>
      <c r="N449" s="38" t="s">
        <v>842</v>
      </c>
      <c r="O449" s="38" t="s">
        <v>390</v>
      </c>
      <c r="P449" s="38" t="s">
        <v>842</v>
      </c>
      <c r="Q449" s="38" t="s">
        <v>1559</v>
      </c>
      <c r="R449" s="38"/>
      <c r="S449" s="38" t="s">
        <v>258</v>
      </c>
    </row>
    <row r="450" spans="1:19" ht="26.4" hidden="1" customHeight="1" x14ac:dyDescent="0.3">
      <c r="A450" s="47">
        <v>1065910007</v>
      </c>
      <c r="B450" s="49">
        <v>46020</v>
      </c>
      <c r="C450" s="36" t="s">
        <v>131</v>
      </c>
      <c r="D450" s="47">
        <v>1065910007</v>
      </c>
      <c r="E450" s="36" t="s">
        <v>261</v>
      </c>
      <c r="F450" s="37" t="s">
        <v>132</v>
      </c>
      <c r="G450" s="36">
        <v>3178870865</v>
      </c>
      <c r="H450" s="36">
        <v>1</v>
      </c>
      <c r="I450" s="38" t="s">
        <v>638</v>
      </c>
      <c r="J450" s="38" t="s">
        <v>685</v>
      </c>
      <c r="K450" s="36" t="s">
        <v>245</v>
      </c>
      <c r="L450" s="36"/>
      <c r="M450" s="39">
        <v>46035</v>
      </c>
      <c r="N450" s="38" t="s">
        <v>842</v>
      </c>
      <c r="O450" s="38" t="s">
        <v>380</v>
      </c>
      <c r="P450" s="38" t="s">
        <v>842</v>
      </c>
      <c r="Q450" s="38" t="s">
        <v>1559</v>
      </c>
      <c r="R450" s="38"/>
      <c r="S450" s="38" t="s">
        <v>245</v>
      </c>
    </row>
    <row r="451" spans="1:19" ht="19.2" hidden="1" x14ac:dyDescent="0.3">
      <c r="A451" s="47">
        <v>1065912517</v>
      </c>
      <c r="B451" s="50">
        <v>46029</v>
      </c>
      <c r="C451" s="36" t="s">
        <v>54</v>
      </c>
      <c r="D451" s="47">
        <v>1065912517</v>
      </c>
      <c r="E451" s="36" t="s">
        <v>382</v>
      </c>
      <c r="F451" s="37" t="s">
        <v>55</v>
      </c>
      <c r="G451" s="36">
        <v>3187987337</v>
      </c>
      <c r="H451" s="36">
        <v>1</v>
      </c>
      <c r="I451" s="38" t="s">
        <v>638</v>
      </c>
      <c r="J451" s="38" t="e">
        <v>#REF!</v>
      </c>
      <c r="K451" s="40"/>
      <c r="L451" s="36" t="s">
        <v>256</v>
      </c>
      <c r="M451" s="39">
        <v>46035</v>
      </c>
      <c r="N451" s="38" t="s">
        <v>843</v>
      </c>
      <c r="O451" s="38" t="s">
        <v>380</v>
      </c>
      <c r="P451" s="38" t="s">
        <v>843</v>
      </c>
      <c r="Q451" s="38" t="s">
        <v>1558</v>
      </c>
      <c r="R451" s="38"/>
      <c r="S451" s="38"/>
    </row>
    <row r="452" spans="1:19" ht="28.8" x14ac:dyDescent="0.3">
      <c r="A452" s="47">
        <v>1067402089</v>
      </c>
      <c r="B452" s="39">
        <v>46045</v>
      </c>
      <c r="C452" s="36" t="s">
        <v>608</v>
      </c>
      <c r="D452" s="47">
        <v>1067402089</v>
      </c>
      <c r="E452" s="36" t="s">
        <v>101</v>
      </c>
      <c r="F452" s="37" t="s">
        <v>609</v>
      </c>
      <c r="G452" s="38">
        <v>3053124429</v>
      </c>
      <c r="H452" s="38">
        <v>1</v>
      </c>
      <c r="I452" s="38" t="s">
        <v>641</v>
      </c>
      <c r="J452" s="38" t="s">
        <v>697</v>
      </c>
      <c r="K452" s="38" t="s">
        <v>589</v>
      </c>
      <c r="L452" s="38"/>
      <c r="M452" s="39">
        <v>46049</v>
      </c>
      <c r="N452" s="38" t="s">
        <v>842</v>
      </c>
      <c r="O452" s="38" t="s">
        <v>390</v>
      </c>
      <c r="P452" s="38" t="s">
        <v>842</v>
      </c>
      <c r="Q452" s="38" t="s">
        <v>1559</v>
      </c>
      <c r="R452" s="38"/>
      <c r="S452" s="38" t="s">
        <v>589</v>
      </c>
    </row>
    <row r="453" spans="1:19" ht="19.2" customHeight="1" x14ac:dyDescent="0.2">
      <c r="A453" s="47">
        <v>1067817288</v>
      </c>
      <c r="B453" s="48">
        <v>46050</v>
      </c>
      <c r="C453" s="36" t="s">
        <v>799</v>
      </c>
      <c r="D453" s="47">
        <v>1067817288</v>
      </c>
      <c r="E453" s="36" t="s">
        <v>101</v>
      </c>
      <c r="F453" s="37" t="s">
        <v>800</v>
      </c>
      <c r="G453" s="36">
        <v>3008501379</v>
      </c>
      <c r="H453" s="52">
        <v>4</v>
      </c>
      <c r="I453" s="38" t="s">
        <v>631</v>
      </c>
      <c r="J453" s="38" t="s">
        <v>631</v>
      </c>
      <c r="K453" s="52" t="s">
        <v>834</v>
      </c>
      <c r="L453" s="52"/>
      <c r="M453" s="39">
        <v>46062</v>
      </c>
      <c r="N453" s="38" t="s">
        <v>842</v>
      </c>
      <c r="O453" s="38" t="s">
        <v>390</v>
      </c>
      <c r="P453" s="38" t="s">
        <v>842</v>
      </c>
      <c r="Q453" s="38" t="s">
        <v>1559</v>
      </c>
      <c r="R453" s="38"/>
      <c r="S453" s="38" t="s">
        <v>834</v>
      </c>
    </row>
    <row r="454" spans="1:19" ht="19.2" x14ac:dyDescent="0.3">
      <c r="A454" s="47">
        <v>1067849361</v>
      </c>
      <c r="B454" s="39">
        <v>46056</v>
      </c>
      <c r="C454" s="36" t="s">
        <v>923</v>
      </c>
      <c r="D454" s="47">
        <v>1067849361</v>
      </c>
      <c r="E454" s="38" t="s">
        <v>101</v>
      </c>
      <c r="F454" s="37" t="s">
        <v>926</v>
      </c>
      <c r="G454" s="38">
        <v>3023016504</v>
      </c>
      <c r="H454" s="38">
        <v>1</v>
      </c>
      <c r="I454" s="38" t="s">
        <v>641</v>
      </c>
      <c r="J454" s="38" t="s">
        <v>985</v>
      </c>
      <c r="K454" s="38"/>
      <c r="L454" s="38" t="s">
        <v>1197</v>
      </c>
      <c r="M454" s="39">
        <v>46063</v>
      </c>
      <c r="N454" s="38" t="s">
        <v>843</v>
      </c>
      <c r="O454" s="38" t="s">
        <v>390</v>
      </c>
      <c r="P454" s="38" t="s">
        <v>843</v>
      </c>
      <c r="Q454" s="38" t="s">
        <v>1558</v>
      </c>
      <c r="R454" s="38"/>
      <c r="S454" s="38"/>
    </row>
    <row r="455" spans="1:19" ht="19.2" hidden="1" x14ac:dyDescent="0.3">
      <c r="A455" s="47">
        <v>1067855162</v>
      </c>
      <c r="B455" s="49">
        <v>46020</v>
      </c>
      <c r="C455" s="36" t="s">
        <v>123</v>
      </c>
      <c r="D455" s="47">
        <v>1067855162</v>
      </c>
      <c r="E455" s="36" t="s">
        <v>261</v>
      </c>
      <c r="F455" s="37" t="s">
        <v>124</v>
      </c>
      <c r="G455" s="36">
        <v>3126986817</v>
      </c>
      <c r="H455" s="36">
        <v>1</v>
      </c>
      <c r="I455" s="38" t="s">
        <v>641</v>
      </c>
      <c r="J455" s="38" t="s">
        <v>714</v>
      </c>
      <c r="K455" s="36" t="s">
        <v>245</v>
      </c>
      <c r="L455" s="36"/>
      <c r="M455" s="39">
        <v>46035</v>
      </c>
      <c r="N455" s="38" t="s">
        <v>842</v>
      </c>
      <c r="O455" s="38" t="s">
        <v>380</v>
      </c>
      <c r="P455" s="38" t="s">
        <v>842</v>
      </c>
      <c r="Q455" s="38" t="s">
        <v>1559</v>
      </c>
      <c r="R455" s="38"/>
      <c r="S455" s="38" t="s">
        <v>245</v>
      </c>
    </row>
    <row r="456" spans="1:19" ht="19.2" hidden="1" x14ac:dyDescent="0.3">
      <c r="A456" s="47"/>
      <c r="B456" s="39">
        <v>46163</v>
      </c>
      <c r="C456" s="58" t="s">
        <v>1765</v>
      </c>
      <c r="D456" s="58">
        <v>1067884117</v>
      </c>
      <c r="E456" s="58" t="s">
        <v>1764</v>
      </c>
      <c r="F456" s="59" t="s">
        <v>1772</v>
      </c>
      <c r="G456" s="38"/>
      <c r="H456" s="60">
        <v>1</v>
      </c>
      <c r="I456" s="38"/>
      <c r="J456" s="38"/>
      <c r="K456" s="38" t="s">
        <v>1777</v>
      </c>
      <c r="L456" s="38"/>
      <c r="M456" s="39">
        <v>46165</v>
      </c>
      <c r="N456" s="38" t="s">
        <v>1705</v>
      </c>
      <c r="O456" s="38"/>
      <c r="P456" s="38"/>
      <c r="Q456" s="38"/>
      <c r="R456" s="38"/>
      <c r="S456" s="38"/>
    </row>
    <row r="457" spans="1:19" ht="19.2" hidden="1" x14ac:dyDescent="0.3">
      <c r="A457" s="47"/>
      <c r="B457" s="39">
        <v>46161</v>
      </c>
      <c r="C457" s="58" t="s">
        <v>1728</v>
      </c>
      <c r="D457" s="58">
        <v>1067935622</v>
      </c>
      <c r="E457" s="58" t="s">
        <v>1727</v>
      </c>
      <c r="F457" s="59" t="s">
        <v>1747</v>
      </c>
      <c r="G457" s="58" t="s">
        <v>1756</v>
      </c>
      <c r="H457" s="60">
        <v>1</v>
      </c>
      <c r="I457" s="38"/>
      <c r="J457" s="38"/>
      <c r="K457" s="38"/>
      <c r="L457" s="38" t="s">
        <v>1761</v>
      </c>
      <c r="M457" s="39">
        <v>46163</v>
      </c>
      <c r="N457" s="38" t="s">
        <v>1555</v>
      </c>
      <c r="O457" s="38"/>
      <c r="P457" s="38"/>
      <c r="Q457" s="38"/>
      <c r="R457" s="38"/>
      <c r="S457" s="38"/>
    </row>
    <row r="458" spans="1:19" ht="19.2" x14ac:dyDescent="0.3">
      <c r="A458" s="47">
        <v>1068665698</v>
      </c>
      <c r="B458" s="48">
        <v>46017</v>
      </c>
      <c r="C458" s="36" t="s">
        <v>194</v>
      </c>
      <c r="D458" s="47">
        <v>1068665698</v>
      </c>
      <c r="E458" s="36" t="s">
        <v>101</v>
      </c>
      <c r="F458" s="37" t="s">
        <v>195</v>
      </c>
      <c r="G458" s="36">
        <v>3012290912</v>
      </c>
      <c r="H458" s="36">
        <v>1</v>
      </c>
      <c r="I458" s="38" t="s">
        <v>641</v>
      </c>
      <c r="J458" s="38" t="s">
        <v>698</v>
      </c>
      <c r="K458" s="36" t="s">
        <v>242</v>
      </c>
      <c r="L458" s="36"/>
      <c r="M458" s="39">
        <v>46035</v>
      </c>
      <c r="N458" s="38" t="s">
        <v>842</v>
      </c>
      <c r="O458" s="38" t="s">
        <v>390</v>
      </c>
      <c r="P458" s="38" t="s">
        <v>842</v>
      </c>
      <c r="Q458" s="38" t="s">
        <v>1559</v>
      </c>
      <c r="R458" s="38"/>
      <c r="S458" s="38" t="s">
        <v>242</v>
      </c>
    </row>
    <row r="459" spans="1:19" ht="43.2" customHeight="1" x14ac:dyDescent="0.3">
      <c r="A459" s="47">
        <v>1069584449</v>
      </c>
      <c r="B459" s="51">
        <v>46032</v>
      </c>
      <c r="C459" s="36" t="s">
        <v>318</v>
      </c>
      <c r="D459" s="47">
        <v>1069584449</v>
      </c>
      <c r="E459" s="36" t="s">
        <v>101</v>
      </c>
      <c r="F459" s="37" t="s">
        <v>319</v>
      </c>
      <c r="G459" s="38">
        <v>3143008199</v>
      </c>
      <c r="H459" s="38">
        <v>3</v>
      </c>
      <c r="I459" s="38" t="s">
        <v>679</v>
      </c>
      <c r="J459" s="38" t="s">
        <v>680</v>
      </c>
      <c r="K459" s="38" t="s">
        <v>407</v>
      </c>
      <c r="L459" s="38" t="s">
        <v>315</v>
      </c>
      <c r="M459" s="39">
        <v>46039</v>
      </c>
      <c r="N459" s="38" t="s">
        <v>842</v>
      </c>
      <c r="O459" s="38" t="s">
        <v>390</v>
      </c>
      <c r="P459" s="38" t="s">
        <v>843</v>
      </c>
      <c r="Q459" s="38" t="s">
        <v>1560</v>
      </c>
      <c r="R459" s="38"/>
      <c r="S459" s="38" t="s">
        <v>407</v>
      </c>
    </row>
    <row r="460" spans="1:19" ht="19.2" x14ac:dyDescent="0.3">
      <c r="A460" s="47">
        <v>1070009009</v>
      </c>
      <c r="B460" s="51">
        <v>46032</v>
      </c>
      <c r="C460" s="36" t="s">
        <v>326</v>
      </c>
      <c r="D460" s="47">
        <v>1070009009</v>
      </c>
      <c r="E460" s="36" t="s">
        <v>101</v>
      </c>
      <c r="F460" s="37" t="s">
        <v>327</v>
      </c>
      <c r="G460" s="38">
        <v>3133629181</v>
      </c>
      <c r="H460" s="38">
        <v>2</v>
      </c>
      <c r="I460" s="38" t="s">
        <v>647</v>
      </c>
      <c r="J460" s="38" t="s">
        <v>981</v>
      </c>
      <c r="K460" s="42"/>
      <c r="L460" s="38" t="s">
        <v>271</v>
      </c>
      <c r="M460" s="39">
        <v>46039</v>
      </c>
      <c r="N460" s="38" t="s">
        <v>843</v>
      </c>
      <c r="O460" s="38" t="s">
        <v>390</v>
      </c>
      <c r="P460" s="38" t="s">
        <v>843</v>
      </c>
      <c r="Q460" s="38" t="s">
        <v>1558</v>
      </c>
      <c r="R460" s="38"/>
      <c r="S460" s="38"/>
    </row>
    <row r="461" spans="1:19" ht="19.2" x14ac:dyDescent="0.3">
      <c r="A461" s="47">
        <v>1070705943</v>
      </c>
      <c r="B461" s="51">
        <v>46032</v>
      </c>
      <c r="C461" s="36" t="s">
        <v>298</v>
      </c>
      <c r="D461" s="47">
        <v>1070705943</v>
      </c>
      <c r="E461" s="36" t="s">
        <v>101</v>
      </c>
      <c r="F461" s="37" t="s">
        <v>299</v>
      </c>
      <c r="G461" s="38">
        <v>3123289168</v>
      </c>
      <c r="H461" s="38">
        <v>2</v>
      </c>
      <c r="I461" s="38" t="s">
        <v>647</v>
      </c>
      <c r="J461" s="38" t="s">
        <v>699</v>
      </c>
      <c r="K461" s="38" t="s">
        <v>266</v>
      </c>
      <c r="L461" s="38"/>
      <c r="M461" s="39">
        <v>46039</v>
      </c>
      <c r="N461" s="38" t="s">
        <v>842</v>
      </c>
      <c r="O461" s="38" t="s">
        <v>390</v>
      </c>
      <c r="P461" s="38" t="s">
        <v>842</v>
      </c>
      <c r="Q461" s="38" t="s">
        <v>1559</v>
      </c>
      <c r="R461" s="38"/>
      <c r="S461" s="38" t="s">
        <v>266</v>
      </c>
    </row>
    <row r="462" spans="1:19" ht="19.2" x14ac:dyDescent="0.3">
      <c r="A462" s="47">
        <v>1070970849</v>
      </c>
      <c r="B462" s="39" t="s">
        <v>1150</v>
      </c>
      <c r="C462" s="36" t="s">
        <v>867</v>
      </c>
      <c r="D462" s="47">
        <v>1070970849</v>
      </c>
      <c r="E462" s="38" t="s">
        <v>101</v>
      </c>
      <c r="F462" s="37" t="s">
        <v>888</v>
      </c>
      <c r="G462" s="38" t="s">
        <v>907</v>
      </c>
      <c r="H462" s="38">
        <v>4</v>
      </c>
      <c r="I462" s="38" t="s">
        <v>631</v>
      </c>
      <c r="J462" s="38" t="s">
        <v>631</v>
      </c>
      <c r="K462" s="38"/>
      <c r="L462" s="38" t="s">
        <v>1318</v>
      </c>
      <c r="M462" s="39">
        <v>46062</v>
      </c>
      <c r="N462" s="38" t="s">
        <v>843</v>
      </c>
      <c r="O462" s="38" t="s">
        <v>390</v>
      </c>
      <c r="P462" s="38" t="s">
        <v>843</v>
      </c>
      <c r="Q462" s="38" t="s">
        <v>1558</v>
      </c>
      <c r="R462" s="38"/>
      <c r="S462" s="38"/>
    </row>
    <row r="463" spans="1:19" ht="19.2" x14ac:dyDescent="0.3">
      <c r="A463" s="45">
        <v>1071162622</v>
      </c>
      <c r="B463" s="51">
        <v>46149</v>
      </c>
      <c r="C463" s="45" t="s">
        <v>1708</v>
      </c>
      <c r="D463" s="45">
        <v>1071162622</v>
      </c>
      <c r="E463" s="45" t="s">
        <v>1700</v>
      </c>
      <c r="F463" s="37" t="s">
        <v>1712</v>
      </c>
      <c r="G463" s="45"/>
      <c r="H463" s="45">
        <v>4</v>
      </c>
      <c r="I463" s="38"/>
      <c r="J463" s="38"/>
      <c r="K463" s="38"/>
      <c r="L463" s="38" t="s">
        <v>1695</v>
      </c>
      <c r="M463" s="39">
        <v>46153</v>
      </c>
      <c r="N463" s="38" t="s">
        <v>1555</v>
      </c>
      <c r="O463" s="38"/>
      <c r="P463" s="38" t="s">
        <v>843</v>
      </c>
      <c r="Q463" s="38"/>
      <c r="R463" s="38"/>
      <c r="S463" s="38"/>
    </row>
    <row r="464" spans="1:19" ht="19.2" x14ac:dyDescent="0.3">
      <c r="A464" s="47">
        <v>1072649288</v>
      </c>
      <c r="B464" s="51">
        <v>46032</v>
      </c>
      <c r="C464" s="36" t="s">
        <v>302</v>
      </c>
      <c r="D464" s="47">
        <v>1072649288</v>
      </c>
      <c r="E464" s="36" t="s">
        <v>349</v>
      </c>
      <c r="F464" s="37" t="s">
        <v>303</v>
      </c>
      <c r="G464" s="38" t="s">
        <v>304</v>
      </c>
      <c r="H464" s="38">
        <v>2</v>
      </c>
      <c r="I464" s="38" t="s">
        <v>647</v>
      </c>
      <c r="J464" s="38" t="s">
        <v>1536</v>
      </c>
      <c r="K464" s="38" t="s">
        <v>266</v>
      </c>
      <c r="L464" s="38"/>
      <c r="M464" s="39">
        <v>46039</v>
      </c>
      <c r="N464" s="38" t="s">
        <v>842</v>
      </c>
      <c r="O464" s="38" t="s">
        <v>390</v>
      </c>
      <c r="P464" s="38" t="s">
        <v>843</v>
      </c>
      <c r="Q464" s="38" t="s">
        <v>1560</v>
      </c>
      <c r="R464" s="38"/>
      <c r="S464" s="38" t="s">
        <v>266</v>
      </c>
    </row>
    <row r="465" spans="1:19" ht="19.2" x14ac:dyDescent="0.3">
      <c r="A465" s="47">
        <v>1072656396</v>
      </c>
      <c r="B465" s="39">
        <v>46062</v>
      </c>
      <c r="C465" s="36" t="s">
        <v>1047</v>
      </c>
      <c r="D465" s="47">
        <v>1072656396</v>
      </c>
      <c r="E465" s="38" t="s">
        <v>349</v>
      </c>
      <c r="F465" s="37" t="s">
        <v>1048</v>
      </c>
      <c r="G465" s="38">
        <v>3108080970</v>
      </c>
      <c r="H465" s="38">
        <v>2</v>
      </c>
      <c r="I465" s="38" t="s">
        <v>631</v>
      </c>
      <c r="J465" s="38" t="s">
        <v>631</v>
      </c>
      <c r="K465" s="38" t="s">
        <v>1017</v>
      </c>
      <c r="L465" s="38"/>
      <c r="M465" s="39">
        <v>46072</v>
      </c>
      <c r="N465" s="38" t="s">
        <v>842</v>
      </c>
      <c r="O465" s="38" t="s">
        <v>390</v>
      </c>
      <c r="P465" s="38" t="s">
        <v>843</v>
      </c>
      <c r="Q465" s="38" t="s">
        <v>1561</v>
      </c>
      <c r="R465" s="38"/>
      <c r="S465" s="38"/>
    </row>
    <row r="466" spans="1:19" ht="19.2" x14ac:dyDescent="0.3">
      <c r="A466" s="47">
        <v>1072708789</v>
      </c>
      <c r="B466" s="39">
        <v>46041</v>
      </c>
      <c r="C466" s="36" t="s">
        <v>398</v>
      </c>
      <c r="D466" s="47">
        <v>1072708789</v>
      </c>
      <c r="E466" s="36" t="s">
        <v>349</v>
      </c>
      <c r="F466" s="37" t="s">
        <v>399</v>
      </c>
      <c r="G466" s="38">
        <v>3006623020</v>
      </c>
      <c r="H466" s="38">
        <v>4</v>
      </c>
      <c r="I466" s="38" t="s">
        <v>631</v>
      </c>
      <c r="J466" s="38" t="s">
        <v>631</v>
      </c>
      <c r="K466" s="42"/>
      <c r="L466" s="38" t="s">
        <v>397</v>
      </c>
      <c r="M466" s="39">
        <v>46049</v>
      </c>
      <c r="N466" s="38" t="s">
        <v>843</v>
      </c>
      <c r="O466" s="38" t="s">
        <v>390</v>
      </c>
      <c r="P466" s="38" t="s">
        <v>843</v>
      </c>
      <c r="Q466" s="38" t="s">
        <v>1558</v>
      </c>
      <c r="R466" s="38"/>
      <c r="S466" s="38"/>
    </row>
    <row r="467" spans="1:19" ht="19.2" customHeight="1" x14ac:dyDescent="0.2">
      <c r="A467" s="47">
        <v>1073170717</v>
      </c>
      <c r="B467" s="48">
        <v>46050</v>
      </c>
      <c r="C467" s="36" t="s">
        <v>801</v>
      </c>
      <c r="D467" s="47">
        <v>1073170717</v>
      </c>
      <c r="E467" s="36" t="s">
        <v>349</v>
      </c>
      <c r="F467" s="37" t="s">
        <v>802</v>
      </c>
      <c r="G467" s="36">
        <v>3214000100</v>
      </c>
      <c r="H467" s="52">
        <v>4</v>
      </c>
      <c r="I467" s="38" t="s">
        <v>631</v>
      </c>
      <c r="J467" s="38" t="s">
        <v>631</v>
      </c>
      <c r="K467" s="52"/>
      <c r="L467" s="52" t="s">
        <v>836</v>
      </c>
      <c r="M467" s="39">
        <v>46062</v>
      </c>
      <c r="N467" s="38" t="s">
        <v>843</v>
      </c>
      <c r="O467" s="38" t="s">
        <v>390</v>
      </c>
      <c r="P467" s="38" t="s">
        <v>843</v>
      </c>
      <c r="Q467" s="38" t="s">
        <v>1558</v>
      </c>
      <c r="R467" s="38"/>
      <c r="S467" s="38"/>
    </row>
    <row r="468" spans="1:19" ht="19.2" customHeight="1" x14ac:dyDescent="0.2">
      <c r="A468" s="47">
        <v>1073171079</v>
      </c>
      <c r="B468" s="48">
        <v>46045</v>
      </c>
      <c r="C468" s="36" t="s">
        <v>803</v>
      </c>
      <c r="D468" s="47">
        <v>1073171079</v>
      </c>
      <c r="E468" s="36" t="s">
        <v>349</v>
      </c>
      <c r="F468" s="37" t="s">
        <v>804</v>
      </c>
      <c r="G468" s="36">
        <v>3057509382</v>
      </c>
      <c r="H468" s="52">
        <v>3</v>
      </c>
      <c r="I468" s="38" t="s">
        <v>647</v>
      </c>
      <c r="J468" s="38" t="s">
        <v>712</v>
      </c>
      <c r="K468" s="52" t="s">
        <v>833</v>
      </c>
      <c r="L468" s="52"/>
      <c r="M468" s="39">
        <v>46062</v>
      </c>
      <c r="N468" s="38" t="s">
        <v>842</v>
      </c>
      <c r="O468" s="38" t="s">
        <v>390</v>
      </c>
      <c r="P468" s="38" t="s">
        <v>842</v>
      </c>
      <c r="Q468" s="38" t="s">
        <v>1559</v>
      </c>
      <c r="R468" s="38"/>
      <c r="S468" s="38" t="s">
        <v>833</v>
      </c>
    </row>
    <row r="469" spans="1:19" ht="19.2" x14ac:dyDescent="0.3">
      <c r="A469" s="47">
        <v>1073816649</v>
      </c>
      <c r="B469" s="49">
        <v>46020</v>
      </c>
      <c r="C469" s="36" t="s">
        <v>108</v>
      </c>
      <c r="D469" s="47">
        <v>1073816649</v>
      </c>
      <c r="E469" s="36" t="s">
        <v>101</v>
      </c>
      <c r="F469" s="37" t="s">
        <v>109</v>
      </c>
      <c r="G469" s="36">
        <v>3135597546</v>
      </c>
      <c r="H469" s="36">
        <v>1</v>
      </c>
      <c r="I469" s="38" t="s">
        <v>641</v>
      </c>
      <c r="J469" s="38" t="s">
        <v>642</v>
      </c>
      <c r="K469" s="36" t="s">
        <v>245</v>
      </c>
      <c r="L469" s="36"/>
      <c r="M469" s="39">
        <v>46035</v>
      </c>
      <c r="N469" s="38" t="s">
        <v>842</v>
      </c>
      <c r="O469" s="38" t="s">
        <v>390</v>
      </c>
      <c r="P469" s="38" t="s">
        <v>842</v>
      </c>
      <c r="Q469" s="38" t="s">
        <v>1559</v>
      </c>
      <c r="R469" s="38"/>
      <c r="S469" s="38" t="s">
        <v>245</v>
      </c>
    </row>
    <row r="470" spans="1:19" ht="43.2" customHeight="1" x14ac:dyDescent="0.2">
      <c r="A470" s="47">
        <v>1074556969</v>
      </c>
      <c r="B470" s="48">
        <v>46050</v>
      </c>
      <c r="C470" s="36" t="s">
        <v>805</v>
      </c>
      <c r="D470" s="47">
        <v>1074556969</v>
      </c>
      <c r="E470" s="36" t="s">
        <v>349</v>
      </c>
      <c r="F470" s="37" t="s">
        <v>806</v>
      </c>
      <c r="G470" s="36">
        <v>3222381473</v>
      </c>
      <c r="H470" s="52">
        <v>4</v>
      </c>
      <c r="I470" s="38" t="s">
        <v>631</v>
      </c>
      <c r="J470" s="38" t="s">
        <v>631</v>
      </c>
      <c r="K470" s="52"/>
      <c r="L470" s="52" t="s">
        <v>836</v>
      </c>
      <c r="M470" s="39">
        <v>46062</v>
      </c>
      <c r="N470" s="38" t="s">
        <v>843</v>
      </c>
      <c r="O470" s="38" t="s">
        <v>390</v>
      </c>
      <c r="P470" s="38" t="s">
        <v>843</v>
      </c>
      <c r="Q470" s="38" t="s">
        <v>1558</v>
      </c>
      <c r="R470" s="38"/>
      <c r="S470" s="38"/>
    </row>
    <row r="471" spans="1:19" ht="23.25" customHeight="1" x14ac:dyDescent="0.3">
      <c r="A471" s="47">
        <v>1075217087</v>
      </c>
      <c r="B471" s="39">
        <v>46056</v>
      </c>
      <c r="C471" s="36" t="s">
        <v>879</v>
      </c>
      <c r="D471" s="47">
        <v>1075217087</v>
      </c>
      <c r="E471" s="38" t="s">
        <v>101</v>
      </c>
      <c r="F471" s="37" t="s">
        <v>898</v>
      </c>
      <c r="G471" s="38" t="s">
        <v>910</v>
      </c>
      <c r="H471" s="38">
        <v>4</v>
      </c>
      <c r="I471" s="38" t="s">
        <v>631</v>
      </c>
      <c r="J471" s="38" t="s">
        <v>631</v>
      </c>
      <c r="K471" s="38" t="s">
        <v>870</v>
      </c>
      <c r="L471" s="38"/>
      <c r="M471" s="39">
        <v>46062</v>
      </c>
      <c r="N471" s="38" t="s">
        <v>842</v>
      </c>
      <c r="O471" s="38" t="s">
        <v>390</v>
      </c>
      <c r="P471" s="38" t="s">
        <v>843</v>
      </c>
      <c r="Q471" s="38" t="s">
        <v>1561</v>
      </c>
      <c r="R471" s="38"/>
      <c r="S471" s="38"/>
    </row>
    <row r="472" spans="1:19" ht="43.2" customHeight="1" x14ac:dyDescent="0.3">
      <c r="A472" s="47">
        <v>1075224742</v>
      </c>
      <c r="B472" s="39">
        <v>46066</v>
      </c>
      <c r="C472" s="36" t="s">
        <v>1317</v>
      </c>
      <c r="D472" s="47">
        <v>1075224742</v>
      </c>
      <c r="E472" s="38" t="s">
        <v>101</v>
      </c>
      <c r="F472" s="37" t="s">
        <v>1321</v>
      </c>
      <c r="G472" s="38">
        <v>3138236572</v>
      </c>
      <c r="H472" s="38">
        <v>4</v>
      </c>
      <c r="I472" s="38" t="s">
        <v>661</v>
      </c>
      <c r="J472" s="38" t="s">
        <v>662</v>
      </c>
      <c r="K472" s="38" t="s">
        <v>1323</v>
      </c>
      <c r="L472" s="38"/>
      <c r="M472" s="39"/>
      <c r="N472" s="38" t="s">
        <v>842</v>
      </c>
      <c r="O472" s="38" t="s">
        <v>390</v>
      </c>
      <c r="P472" s="38" t="s">
        <v>843</v>
      </c>
      <c r="Q472" s="38"/>
      <c r="R472" s="38"/>
      <c r="S472" s="38"/>
    </row>
    <row r="473" spans="1:19" ht="43.2" customHeight="1" x14ac:dyDescent="0.3">
      <c r="A473" s="47">
        <v>1075233213</v>
      </c>
      <c r="B473" s="39">
        <v>46066</v>
      </c>
      <c r="C473" s="36" t="s">
        <v>1302</v>
      </c>
      <c r="D473" s="47">
        <v>1075233213</v>
      </c>
      <c r="E473" s="38" t="s">
        <v>101</v>
      </c>
      <c r="F473" s="37" t="s">
        <v>1311</v>
      </c>
      <c r="G473" s="38">
        <v>3176709214</v>
      </c>
      <c r="H473" s="38">
        <v>4</v>
      </c>
      <c r="I473" s="38" t="s">
        <v>661</v>
      </c>
      <c r="J473" s="38" t="s">
        <v>1531</v>
      </c>
      <c r="K473" s="38" t="s">
        <v>1524</v>
      </c>
      <c r="L473" s="38"/>
      <c r="M473" s="39"/>
      <c r="N473" s="38" t="s">
        <v>842</v>
      </c>
      <c r="O473" s="38" t="s">
        <v>390</v>
      </c>
      <c r="P473" s="38" t="s">
        <v>843</v>
      </c>
      <c r="Q473" s="38"/>
      <c r="R473" s="38"/>
      <c r="S473" s="38"/>
    </row>
    <row r="474" spans="1:19" ht="43.2" customHeight="1" x14ac:dyDescent="0.3">
      <c r="A474" s="47">
        <v>1075240144</v>
      </c>
      <c r="B474" s="39">
        <v>46073</v>
      </c>
      <c r="C474" s="36" t="s">
        <v>1239</v>
      </c>
      <c r="D474" s="47">
        <v>1075240144</v>
      </c>
      <c r="E474" s="38" t="s">
        <v>101</v>
      </c>
      <c r="F474" s="37" t="s">
        <v>1240</v>
      </c>
      <c r="G474" s="38">
        <v>3138331202</v>
      </c>
      <c r="H474" s="38">
        <v>4</v>
      </c>
      <c r="I474" s="38" t="s">
        <v>661</v>
      </c>
      <c r="J474" s="38" t="s">
        <v>662</v>
      </c>
      <c r="K474" s="38" t="s">
        <v>1228</v>
      </c>
      <c r="L474" s="38"/>
      <c r="M474" s="39">
        <v>46076</v>
      </c>
      <c r="N474" s="38" t="s">
        <v>842</v>
      </c>
      <c r="O474" s="38" t="s">
        <v>390</v>
      </c>
      <c r="P474" s="38" t="s">
        <v>1555</v>
      </c>
      <c r="Q474" s="38" t="s">
        <v>1561</v>
      </c>
      <c r="R474" s="38"/>
      <c r="S474" s="38"/>
    </row>
    <row r="475" spans="1:19" ht="43.2" customHeight="1" x14ac:dyDescent="0.3">
      <c r="A475" s="47">
        <v>1075247000</v>
      </c>
      <c r="B475" s="39">
        <v>46056</v>
      </c>
      <c r="C475" s="36" t="s">
        <v>922</v>
      </c>
      <c r="D475" s="47">
        <v>1075247000</v>
      </c>
      <c r="E475" s="38" t="s">
        <v>101</v>
      </c>
      <c r="F475" s="37" t="s">
        <v>925</v>
      </c>
      <c r="G475" s="38">
        <v>3184254778</v>
      </c>
      <c r="H475" s="38">
        <v>4</v>
      </c>
      <c r="I475" s="38" t="s">
        <v>661</v>
      </c>
      <c r="J475" s="38" t="s">
        <v>662</v>
      </c>
      <c r="K475" s="38"/>
      <c r="L475" s="38" t="s">
        <v>920</v>
      </c>
      <c r="M475" s="39">
        <v>46063</v>
      </c>
      <c r="N475" s="38" t="s">
        <v>843</v>
      </c>
      <c r="O475" s="38" t="s">
        <v>390</v>
      </c>
      <c r="P475" s="38" t="s">
        <v>843</v>
      </c>
      <c r="Q475" s="38" t="s">
        <v>1558</v>
      </c>
      <c r="R475" s="38"/>
      <c r="S475" s="38"/>
    </row>
    <row r="476" spans="1:19" ht="43.2" customHeight="1" x14ac:dyDescent="0.3">
      <c r="A476" s="47">
        <v>1075250066</v>
      </c>
      <c r="B476" s="39">
        <v>46073</v>
      </c>
      <c r="C476" s="36" t="s">
        <v>1204</v>
      </c>
      <c r="D476" s="47">
        <v>1075250066</v>
      </c>
      <c r="E476" s="38" t="s">
        <v>101</v>
      </c>
      <c r="F476" s="37" t="s">
        <v>1205</v>
      </c>
      <c r="G476" s="38">
        <v>3157621575</v>
      </c>
      <c r="H476" s="38">
        <v>4</v>
      </c>
      <c r="I476" s="38" t="s">
        <v>661</v>
      </c>
      <c r="J476" s="38" t="s">
        <v>662</v>
      </c>
      <c r="K476" s="38"/>
      <c r="L476" s="38" t="s">
        <v>1196</v>
      </c>
      <c r="M476" s="39">
        <v>46076</v>
      </c>
      <c r="N476" s="38" t="s">
        <v>843</v>
      </c>
      <c r="O476" s="38" t="s">
        <v>390</v>
      </c>
      <c r="P476" s="38" t="s">
        <v>1555</v>
      </c>
      <c r="Q476" s="38" t="s">
        <v>1558</v>
      </c>
      <c r="R476" s="38"/>
      <c r="S476" s="38"/>
    </row>
    <row r="477" spans="1:19" ht="43.2" customHeight="1" x14ac:dyDescent="0.3">
      <c r="A477" s="47">
        <v>1075254161</v>
      </c>
      <c r="B477" s="39">
        <v>46066</v>
      </c>
      <c r="C477" s="36" t="s">
        <v>1303</v>
      </c>
      <c r="D477" s="47">
        <v>1075254161</v>
      </c>
      <c r="E477" s="38" t="s">
        <v>101</v>
      </c>
      <c r="F477" s="37" t="s">
        <v>1312</v>
      </c>
      <c r="G477" s="38">
        <v>3028574419</v>
      </c>
      <c r="H477" s="38">
        <v>4</v>
      </c>
      <c r="I477" s="38" t="s">
        <v>661</v>
      </c>
      <c r="J477" s="38" t="s">
        <v>662</v>
      </c>
      <c r="K477" s="38" t="s">
        <v>1524</v>
      </c>
      <c r="L477" s="38"/>
      <c r="M477" s="39"/>
      <c r="N477" s="38" t="s">
        <v>842</v>
      </c>
      <c r="O477" s="38" t="s">
        <v>390</v>
      </c>
      <c r="P477" s="38" t="s">
        <v>843</v>
      </c>
      <c r="Q477" s="38"/>
      <c r="R477" s="38"/>
      <c r="S477" s="38"/>
    </row>
    <row r="478" spans="1:19" ht="43.2" customHeight="1" x14ac:dyDescent="0.3">
      <c r="A478" s="47">
        <v>1075260621</v>
      </c>
      <c r="B478" s="39">
        <v>46084</v>
      </c>
      <c r="C478" s="38" t="s">
        <v>1377</v>
      </c>
      <c r="D478" s="47">
        <v>1075260621</v>
      </c>
      <c r="E478" s="38" t="s">
        <v>101</v>
      </c>
      <c r="F478" s="37" t="s">
        <v>1392</v>
      </c>
      <c r="G478" s="38" t="s">
        <v>1393</v>
      </c>
      <c r="H478" s="38">
        <v>4</v>
      </c>
      <c r="I478" s="38" t="s">
        <v>661</v>
      </c>
      <c r="J478" s="38" t="e">
        <v>#REF!</v>
      </c>
      <c r="K478" s="38" t="s">
        <v>1404</v>
      </c>
      <c r="L478" s="38"/>
      <c r="M478" s="39"/>
      <c r="N478" s="38" t="s">
        <v>842</v>
      </c>
      <c r="O478" s="38" t="s">
        <v>390</v>
      </c>
      <c r="P478" s="38" t="s">
        <v>843</v>
      </c>
      <c r="Q478" s="38"/>
      <c r="R478" s="38"/>
      <c r="S478" s="38"/>
    </row>
    <row r="479" spans="1:19" ht="43.2" customHeight="1" x14ac:dyDescent="0.3">
      <c r="A479" s="47">
        <v>1075290917</v>
      </c>
      <c r="B479" s="39">
        <v>46066</v>
      </c>
      <c r="C479" s="36" t="s">
        <v>1301</v>
      </c>
      <c r="D479" s="47">
        <v>1075290917</v>
      </c>
      <c r="E479" s="38" t="s">
        <v>101</v>
      </c>
      <c r="F479" s="37" t="s">
        <v>1310</v>
      </c>
      <c r="G479" s="38">
        <v>3103040685</v>
      </c>
      <c r="H479" s="38">
        <v>4</v>
      </c>
      <c r="I479" s="38" t="s">
        <v>661</v>
      </c>
      <c r="J479" s="38" t="s">
        <v>662</v>
      </c>
      <c r="K479" s="38" t="s">
        <v>1524</v>
      </c>
      <c r="L479" s="38"/>
      <c r="M479" s="39"/>
      <c r="N479" s="38" t="s">
        <v>842</v>
      </c>
      <c r="O479" s="38" t="s">
        <v>390</v>
      </c>
      <c r="P479" s="38" t="s">
        <v>843</v>
      </c>
      <c r="Q479" s="38"/>
      <c r="R479" s="38"/>
      <c r="S479" s="38"/>
    </row>
    <row r="480" spans="1:19" ht="43.2" customHeight="1" x14ac:dyDescent="0.3">
      <c r="A480" s="47">
        <v>1075291380</v>
      </c>
      <c r="B480" s="39">
        <v>46073</v>
      </c>
      <c r="C480" s="36" t="s">
        <v>1271</v>
      </c>
      <c r="D480" s="47">
        <v>1075291380</v>
      </c>
      <c r="E480" s="38" t="s">
        <v>101</v>
      </c>
      <c r="F480" s="37" t="s">
        <v>1272</v>
      </c>
      <c r="G480" s="38">
        <v>3143439450</v>
      </c>
      <c r="H480" s="38">
        <v>4</v>
      </c>
      <c r="I480" s="38" t="s">
        <v>661</v>
      </c>
      <c r="J480" s="38" t="e">
        <v>#REF!</v>
      </c>
      <c r="K480" s="38" t="s">
        <v>1228</v>
      </c>
      <c r="L480" s="38"/>
      <c r="M480" s="39">
        <v>46076</v>
      </c>
      <c r="N480" s="38" t="s">
        <v>842</v>
      </c>
      <c r="O480" s="38" t="s">
        <v>390</v>
      </c>
      <c r="P480" s="38" t="s">
        <v>1555</v>
      </c>
      <c r="Q480" s="38" t="s">
        <v>1561</v>
      </c>
      <c r="R480" s="38"/>
      <c r="S480" s="38"/>
    </row>
    <row r="481" spans="1:19" ht="43.2" hidden="1" customHeight="1" x14ac:dyDescent="0.3">
      <c r="A481" s="47">
        <v>1075297239</v>
      </c>
      <c r="B481" s="39">
        <v>46118</v>
      </c>
      <c r="C481" s="36" t="s">
        <v>1528</v>
      </c>
      <c r="D481" s="47">
        <v>1075297239</v>
      </c>
      <c r="E481" s="38" t="s">
        <v>1503</v>
      </c>
      <c r="F481" s="37" t="s">
        <v>1530</v>
      </c>
      <c r="G481" s="38">
        <v>3204503031</v>
      </c>
      <c r="H481" s="38">
        <v>4</v>
      </c>
      <c r="I481" s="38" t="s">
        <v>631</v>
      </c>
      <c r="J481" s="38" t="s">
        <v>631</v>
      </c>
      <c r="K481" s="38" t="s">
        <v>1525</v>
      </c>
      <c r="L481" s="38"/>
      <c r="M481" s="39"/>
      <c r="N481" s="38" t="s">
        <v>842</v>
      </c>
      <c r="O481" s="38" t="s">
        <v>380</v>
      </c>
      <c r="P481" s="38" t="s">
        <v>843</v>
      </c>
      <c r="Q481" s="38"/>
      <c r="R481" s="38"/>
      <c r="S481" s="38"/>
    </row>
    <row r="482" spans="1:19" ht="52.8" customHeight="1" x14ac:dyDescent="0.3">
      <c r="A482" s="47">
        <v>1075299345</v>
      </c>
      <c r="B482" s="39">
        <v>46066</v>
      </c>
      <c r="C482" s="36" t="s">
        <v>1315</v>
      </c>
      <c r="D482" s="47">
        <v>1075299345</v>
      </c>
      <c r="E482" s="38" t="s">
        <v>101</v>
      </c>
      <c r="F482" s="37" t="s">
        <v>1319</v>
      </c>
      <c r="G482" s="38">
        <v>3112456699</v>
      </c>
      <c r="H482" s="38">
        <v>4</v>
      </c>
      <c r="I482" s="38" t="s">
        <v>661</v>
      </c>
      <c r="J482" s="38" t="s">
        <v>662</v>
      </c>
      <c r="K482" s="38" t="s">
        <v>1323</v>
      </c>
      <c r="L482" s="38"/>
      <c r="M482" s="39"/>
      <c r="N482" s="38" t="s">
        <v>842</v>
      </c>
      <c r="O482" s="38" t="s">
        <v>390</v>
      </c>
      <c r="P482" s="38" t="s">
        <v>842</v>
      </c>
      <c r="Q482" s="38"/>
      <c r="R482" s="38"/>
      <c r="S482" s="38"/>
    </row>
    <row r="483" spans="1:19" ht="43.2" customHeight="1" x14ac:dyDescent="0.3">
      <c r="A483" s="47">
        <v>1075309991</v>
      </c>
      <c r="B483" s="39">
        <v>46073</v>
      </c>
      <c r="C483" s="36" t="s">
        <v>1231</v>
      </c>
      <c r="D483" s="47">
        <v>1075309991</v>
      </c>
      <c r="E483" s="38" t="s">
        <v>101</v>
      </c>
      <c r="F483" s="37" t="s">
        <v>1232</v>
      </c>
      <c r="G483" s="38">
        <v>3214688729</v>
      </c>
      <c r="H483" s="38">
        <v>4</v>
      </c>
      <c r="I483" s="38" t="s">
        <v>661</v>
      </c>
      <c r="J483" s="38" t="s">
        <v>662</v>
      </c>
      <c r="K483" s="38" t="s">
        <v>1228</v>
      </c>
      <c r="L483" s="38"/>
      <c r="M483" s="39">
        <v>46076</v>
      </c>
      <c r="N483" s="38" t="s">
        <v>842</v>
      </c>
      <c r="O483" s="38" t="s">
        <v>390</v>
      </c>
      <c r="P483" s="38" t="s">
        <v>1555</v>
      </c>
      <c r="Q483" s="38" t="s">
        <v>1561</v>
      </c>
      <c r="R483" s="38"/>
      <c r="S483" s="38"/>
    </row>
    <row r="484" spans="1:19" ht="39.6" customHeight="1" x14ac:dyDescent="0.3">
      <c r="A484" s="47">
        <v>1075317780</v>
      </c>
      <c r="B484" s="39">
        <v>46038</v>
      </c>
      <c r="C484" s="36" t="s">
        <v>557</v>
      </c>
      <c r="D484" s="47">
        <v>1075317780</v>
      </c>
      <c r="E484" s="36" t="s">
        <v>101</v>
      </c>
      <c r="F484" s="37" t="s">
        <v>498</v>
      </c>
      <c r="G484" s="38">
        <v>3005246455</v>
      </c>
      <c r="H484" s="38">
        <v>4</v>
      </c>
      <c r="I484" s="38" t="s">
        <v>970</v>
      </c>
      <c r="J484" s="38" t="s">
        <v>700</v>
      </c>
      <c r="K484" s="38" t="s">
        <v>469</v>
      </c>
      <c r="L484" s="38"/>
      <c r="M484" s="39">
        <v>46049</v>
      </c>
      <c r="N484" s="38" t="s">
        <v>842</v>
      </c>
      <c r="O484" s="38" t="s">
        <v>390</v>
      </c>
      <c r="P484" s="38" t="s">
        <v>842</v>
      </c>
      <c r="Q484" s="38" t="s">
        <v>1559</v>
      </c>
      <c r="R484" s="38"/>
      <c r="S484" s="38" t="s">
        <v>469</v>
      </c>
    </row>
    <row r="485" spans="1:19" ht="43.2" customHeight="1" x14ac:dyDescent="0.3">
      <c r="A485" s="47">
        <v>1075599485</v>
      </c>
      <c r="B485" s="39">
        <v>46073</v>
      </c>
      <c r="C485" s="36" t="s">
        <v>1241</v>
      </c>
      <c r="D485" s="47">
        <v>1075599485</v>
      </c>
      <c r="E485" s="38" t="s">
        <v>101</v>
      </c>
      <c r="F485" s="37" t="s">
        <v>1242</v>
      </c>
      <c r="G485" s="38">
        <v>3142376220</v>
      </c>
      <c r="H485" s="38">
        <v>4</v>
      </c>
      <c r="I485" s="38" t="s">
        <v>661</v>
      </c>
      <c r="J485" s="38" t="s">
        <v>662</v>
      </c>
      <c r="K485" s="38" t="s">
        <v>1228</v>
      </c>
      <c r="L485" s="38"/>
      <c r="M485" s="39">
        <v>46076</v>
      </c>
      <c r="N485" s="38" t="s">
        <v>842</v>
      </c>
      <c r="O485" s="38" t="s">
        <v>390</v>
      </c>
      <c r="P485" s="38" t="s">
        <v>1555</v>
      </c>
      <c r="Q485" s="38" t="s">
        <v>1561</v>
      </c>
      <c r="R485" s="38"/>
      <c r="S485" s="38"/>
    </row>
    <row r="486" spans="1:19" ht="43.2" hidden="1" customHeight="1" x14ac:dyDescent="0.3">
      <c r="A486" s="47">
        <v>1077421294</v>
      </c>
      <c r="B486" s="49">
        <v>46020</v>
      </c>
      <c r="C486" s="36" t="s">
        <v>147</v>
      </c>
      <c r="D486" s="47">
        <v>1077421294</v>
      </c>
      <c r="E486" s="36" t="s">
        <v>384</v>
      </c>
      <c r="F486" s="37" t="s">
        <v>148</v>
      </c>
      <c r="G486" s="36">
        <v>3127176996</v>
      </c>
      <c r="H486" s="36">
        <v>5</v>
      </c>
      <c r="I486" s="38" t="s">
        <v>640</v>
      </c>
      <c r="J486" s="38" t="s">
        <v>971</v>
      </c>
      <c r="K486" s="36" t="s">
        <v>246</v>
      </c>
      <c r="L486" s="36"/>
      <c r="M486" s="39">
        <v>46035</v>
      </c>
      <c r="N486" s="38" t="s">
        <v>842</v>
      </c>
      <c r="O486" s="38" t="s">
        <v>380</v>
      </c>
      <c r="P486" s="38" t="s">
        <v>842</v>
      </c>
      <c r="Q486" s="38" t="s">
        <v>1559</v>
      </c>
      <c r="R486" s="38"/>
      <c r="S486" s="38" t="s">
        <v>246</v>
      </c>
    </row>
    <row r="487" spans="1:19" ht="43.2" customHeight="1" x14ac:dyDescent="0.3">
      <c r="A487" s="47">
        <v>1077440695</v>
      </c>
      <c r="B487" s="39">
        <v>46097</v>
      </c>
      <c r="C487" s="38" t="s">
        <v>1446</v>
      </c>
      <c r="D487" s="47">
        <v>1077440695</v>
      </c>
      <c r="E487" s="36" t="s">
        <v>101</v>
      </c>
      <c r="F487" s="37" t="s">
        <v>1483</v>
      </c>
      <c r="G487" s="38">
        <v>3137061306</v>
      </c>
      <c r="H487" s="38">
        <v>5</v>
      </c>
      <c r="I487" s="38" t="s">
        <v>640</v>
      </c>
      <c r="J487" s="38" t="e">
        <v>#REF!</v>
      </c>
      <c r="K487" s="38" t="s">
        <v>1418</v>
      </c>
      <c r="L487" s="38"/>
      <c r="M487" s="39"/>
      <c r="N487" s="38" t="s">
        <v>842</v>
      </c>
      <c r="O487" s="38" t="s">
        <v>390</v>
      </c>
      <c r="P487" s="38" t="s">
        <v>842</v>
      </c>
      <c r="Q487" s="38"/>
      <c r="R487" s="38"/>
      <c r="S487" s="38"/>
    </row>
    <row r="488" spans="1:19" ht="43.2" customHeight="1" x14ac:dyDescent="0.3">
      <c r="A488" s="47">
        <v>1077447769</v>
      </c>
      <c r="B488" s="51">
        <v>46032</v>
      </c>
      <c r="C488" s="36" t="s">
        <v>322</v>
      </c>
      <c r="D488" s="47">
        <v>1077447769</v>
      </c>
      <c r="E488" s="36" t="s">
        <v>349</v>
      </c>
      <c r="F488" s="37" t="s">
        <v>323</v>
      </c>
      <c r="G488" s="38">
        <v>3233760316</v>
      </c>
      <c r="H488" s="38">
        <v>5</v>
      </c>
      <c r="I488" s="38" t="s">
        <v>640</v>
      </c>
      <c r="J488" s="38" t="s">
        <v>971</v>
      </c>
      <c r="K488" s="38" t="s">
        <v>315</v>
      </c>
      <c r="L488" s="38"/>
      <c r="M488" s="39">
        <v>46039</v>
      </c>
      <c r="N488" s="38" t="s">
        <v>842</v>
      </c>
      <c r="O488" s="38" t="s">
        <v>390</v>
      </c>
      <c r="P488" s="38" t="s">
        <v>842</v>
      </c>
      <c r="Q488" s="38" t="s">
        <v>1559</v>
      </c>
      <c r="R488" s="38"/>
      <c r="S488" s="38" t="s">
        <v>315</v>
      </c>
    </row>
    <row r="489" spans="1:19" ht="39.6" customHeight="1" x14ac:dyDescent="0.3">
      <c r="A489" s="47">
        <v>1077453140</v>
      </c>
      <c r="B489" s="39">
        <v>46097</v>
      </c>
      <c r="C489" s="38" t="s">
        <v>1447</v>
      </c>
      <c r="D489" s="47">
        <v>1077453140</v>
      </c>
      <c r="E489" s="36" t="s">
        <v>101</v>
      </c>
      <c r="F489" s="37" t="s">
        <v>1484</v>
      </c>
      <c r="G489" s="38">
        <v>3123211116</v>
      </c>
      <c r="H489" s="38">
        <v>5</v>
      </c>
      <c r="I489" s="38" t="s">
        <v>640</v>
      </c>
      <c r="J489" s="38" t="e">
        <v>#REF!</v>
      </c>
      <c r="K489" s="38" t="s">
        <v>1418</v>
      </c>
      <c r="L489" s="38"/>
      <c r="M489" s="39"/>
      <c r="N489" s="38" t="s">
        <v>842</v>
      </c>
      <c r="O489" s="38" t="s">
        <v>390</v>
      </c>
      <c r="P489" s="38" t="s">
        <v>842</v>
      </c>
      <c r="Q489" s="38"/>
      <c r="R489" s="38"/>
      <c r="S489" s="38"/>
    </row>
    <row r="490" spans="1:19" ht="52.8" customHeight="1" x14ac:dyDescent="0.2">
      <c r="A490" s="47">
        <v>1078180577</v>
      </c>
      <c r="B490" s="48">
        <v>46045</v>
      </c>
      <c r="C490" s="36" t="s">
        <v>807</v>
      </c>
      <c r="D490" s="47">
        <v>1078180577</v>
      </c>
      <c r="E490" s="36" t="s">
        <v>349</v>
      </c>
      <c r="F490" s="37" t="s">
        <v>808</v>
      </c>
      <c r="G490" s="36">
        <v>3207688387</v>
      </c>
      <c r="H490" s="52">
        <v>5</v>
      </c>
      <c r="I490" s="38" t="s">
        <v>640</v>
      </c>
      <c r="J490" s="38" t="e">
        <v>#REF!</v>
      </c>
      <c r="K490" s="52"/>
      <c r="L490" s="52" t="s">
        <v>837</v>
      </c>
      <c r="M490" s="39">
        <v>46062</v>
      </c>
      <c r="N490" s="38" t="s">
        <v>843</v>
      </c>
      <c r="O490" s="38" t="s">
        <v>390</v>
      </c>
      <c r="P490" s="38" t="s">
        <v>843</v>
      </c>
      <c r="Q490" s="38" t="s">
        <v>1558</v>
      </c>
      <c r="R490" s="38"/>
      <c r="S490" s="38"/>
    </row>
    <row r="491" spans="1:19" ht="19.2" x14ac:dyDescent="0.3">
      <c r="A491" s="47">
        <v>1078918155</v>
      </c>
      <c r="B491" s="39">
        <v>46097</v>
      </c>
      <c r="C491" s="38" t="s">
        <v>1427</v>
      </c>
      <c r="D491" s="47">
        <v>1078918155</v>
      </c>
      <c r="E491" s="38" t="s">
        <v>101</v>
      </c>
      <c r="F491" s="37" t="s">
        <v>1461</v>
      </c>
      <c r="G491" s="38">
        <v>3127643163</v>
      </c>
      <c r="H491" s="38">
        <v>5</v>
      </c>
      <c r="I491" s="38" t="s">
        <v>640</v>
      </c>
      <c r="J491" s="38" t="e">
        <v>#REF!</v>
      </c>
      <c r="K491" s="38" t="s">
        <v>1418</v>
      </c>
      <c r="L491" s="38"/>
      <c r="M491" s="39"/>
      <c r="N491" s="38" t="s">
        <v>842</v>
      </c>
      <c r="O491" s="38" t="s">
        <v>390</v>
      </c>
      <c r="P491" s="38" t="s">
        <v>843</v>
      </c>
      <c r="Q491" s="38"/>
      <c r="R491" s="38"/>
      <c r="S491" s="38"/>
    </row>
    <row r="492" spans="1:19" ht="19.2" x14ac:dyDescent="0.3">
      <c r="A492" s="47">
        <v>1079179284</v>
      </c>
      <c r="B492" s="39">
        <v>46073</v>
      </c>
      <c r="C492" s="36" t="s">
        <v>1202</v>
      </c>
      <c r="D492" s="47">
        <v>1079179284</v>
      </c>
      <c r="E492" s="38" t="s">
        <v>101</v>
      </c>
      <c r="F492" s="37" t="s">
        <v>1203</v>
      </c>
      <c r="G492" s="38">
        <v>3213065792</v>
      </c>
      <c r="H492" s="38">
        <v>4</v>
      </c>
      <c r="I492" s="38" t="s">
        <v>661</v>
      </c>
      <c r="J492" s="38" t="s">
        <v>1293</v>
      </c>
      <c r="K492" s="38"/>
      <c r="L492" s="38" t="s">
        <v>1196</v>
      </c>
      <c r="M492" s="39">
        <v>46076</v>
      </c>
      <c r="N492" s="38" t="s">
        <v>843</v>
      </c>
      <c r="O492" s="38" t="s">
        <v>390</v>
      </c>
      <c r="P492" s="38" t="s">
        <v>1555</v>
      </c>
      <c r="Q492" s="38" t="s">
        <v>1558</v>
      </c>
      <c r="R492" s="38"/>
      <c r="S492" s="38"/>
    </row>
    <row r="493" spans="1:19" ht="28.8" x14ac:dyDescent="0.3">
      <c r="A493" s="47">
        <v>1079409209</v>
      </c>
      <c r="B493" s="39">
        <v>46056</v>
      </c>
      <c r="C493" s="36" t="s">
        <v>878</v>
      </c>
      <c r="D493" s="47">
        <v>1079409209</v>
      </c>
      <c r="E493" s="38" t="s">
        <v>101</v>
      </c>
      <c r="F493" s="37" t="s">
        <v>897</v>
      </c>
      <c r="G493" s="38">
        <v>3123382373</v>
      </c>
      <c r="H493" s="38">
        <v>1</v>
      </c>
      <c r="I493" s="38" t="s">
        <v>915</v>
      </c>
      <c r="J493" s="38" t="s">
        <v>662</v>
      </c>
      <c r="K493" s="38" t="s">
        <v>870</v>
      </c>
      <c r="L493" s="38"/>
      <c r="M493" s="39">
        <v>46062</v>
      </c>
      <c r="N493" s="38" t="s">
        <v>842</v>
      </c>
      <c r="O493" s="38" t="s">
        <v>390</v>
      </c>
      <c r="P493" s="38" t="s">
        <v>842</v>
      </c>
      <c r="Q493" s="38" t="s">
        <v>1559</v>
      </c>
      <c r="R493" s="38"/>
      <c r="S493" s="38"/>
    </row>
    <row r="494" spans="1:19" ht="19.2" x14ac:dyDescent="0.3">
      <c r="A494" s="47">
        <v>1079508259</v>
      </c>
      <c r="B494" s="39">
        <v>46073</v>
      </c>
      <c r="C494" s="36" t="s">
        <v>1247</v>
      </c>
      <c r="D494" s="47">
        <v>1079508259</v>
      </c>
      <c r="E494" s="38" t="s">
        <v>101</v>
      </c>
      <c r="F494" s="37" t="s">
        <v>1248</v>
      </c>
      <c r="G494" s="38">
        <v>3229438477</v>
      </c>
      <c r="H494" s="38">
        <v>4</v>
      </c>
      <c r="I494" s="38" t="s">
        <v>661</v>
      </c>
      <c r="J494" s="38" t="s">
        <v>662</v>
      </c>
      <c r="K494" s="38" t="s">
        <v>1228</v>
      </c>
      <c r="L494" s="38"/>
      <c r="M494" s="39">
        <v>46076</v>
      </c>
      <c r="N494" s="38" t="s">
        <v>842</v>
      </c>
      <c r="O494" s="38" t="s">
        <v>390</v>
      </c>
      <c r="P494" s="38" t="s">
        <v>1555</v>
      </c>
      <c r="Q494" s="38" t="s">
        <v>1561</v>
      </c>
      <c r="R494" s="38"/>
      <c r="S494" s="38"/>
    </row>
    <row r="495" spans="1:19" ht="19.2" x14ac:dyDescent="0.3">
      <c r="A495" s="47">
        <v>1080293304</v>
      </c>
      <c r="B495" s="39">
        <v>46073</v>
      </c>
      <c r="C495" s="36" t="s">
        <v>1331</v>
      </c>
      <c r="D495" s="47">
        <v>1080293304</v>
      </c>
      <c r="E495" s="38" t="s">
        <v>101</v>
      </c>
      <c r="F495" s="37" t="s">
        <v>1341</v>
      </c>
      <c r="G495" s="38">
        <v>8782222</v>
      </c>
      <c r="H495" s="38">
        <v>4</v>
      </c>
      <c r="I495" s="38" t="s">
        <v>661</v>
      </c>
      <c r="J495" s="38" t="s">
        <v>1349</v>
      </c>
      <c r="K495" s="38" t="s">
        <v>1360</v>
      </c>
      <c r="L495" s="38"/>
      <c r="M495" s="39"/>
      <c r="N495" s="38" t="s">
        <v>842</v>
      </c>
      <c r="O495" s="38" t="s">
        <v>390</v>
      </c>
      <c r="P495" s="38" t="s">
        <v>843</v>
      </c>
      <c r="Q495" s="38"/>
      <c r="R495" s="38"/>
      <c r="S495" s="38"/>
    </row>
    <row r="496" spans="1:19" ht="19.2" customHeight="1" x14ac:dyDescent="0.2">
      <c r="A496" s="47">
        <v>1082872978</v>
      </c>
      <c r="B496" s="39">
        <v>46050</v>
      </c>
      <c r="C496" s="36" t="s">
        <v>849</v>
      </c>
      <c r="D496" s="47">
        <v>1082872978</v>
      </c>
      <c r="E496" s="38" t="s">
        <v>349</v>
      </c>
      <c r="F496" s="37" t="s">
        <v>858</v>
      </c>
      <c r="G496" s="44">
        <v>3016625821</v>
      </c>
      <c r="H496" s="38">
        <v>1</v>
      </c>
      <c r="I496" s="38" t="s">
        <v>678</v>
      </c>
      <c r="J496" s="38" t="s">
        <v>983</v>
      </c>
      <c r="K496" s="38" t="s">
        <v>854</v>
      </c>
      <c r="L496" s="38"/>
      <c r="M496" s="39">
        <v>46062</v>
      </c>
      <c r="N496" s="38" t="s">
        <v>842</v>
      </c>
      <c r="O496" s="38" t="s">
        <v>390</v>
      </c>
      <c r="P496" s="38" t="s">
        <v>843</v>
      </c>
      <c r="Q496" s="38" t="s">
        <v>1561</v>
      </c>
      <c r="R496" s="38"/>
      <c r="S496" s="38"/>
    </row>
    <row r="497" spans="1:19" ht="19.2" customHeight="1" x14ac:dyDescent="0.2">
      <c r="A497" s="47">
        <v>1082873559</v>
      </c>
      <c r="B497" s="48">
        <v>46050</v>
      </c>
      <c r="C497" s="36" t="s">
        <v>809</v>
      </c>
      <c r="D497" s="47">
        <v>1082873559</v>
      </c>
      <c r="E497" s="36" t="s">
        <v>101</v>
      </c>
      <c r="F497" s="37" t="s">
        <v>810</v>
      </c>
      <c r="G497" s="36">
        <v>3006409202</v>
      </c>
      <c r="H497" s="52">
        <v>1</v>
      </c>
      <c r="I497" s="38" t="s">
        <v>678</v>
      </c>
      <c r="J497" s="38" t="s">
        <v>983</v>
      </c>
      <c r="K497" s="52" t="s">
        <v>834</v>
      </c>
      <c r="L497" s="52"/>
      <c r="M497" s="39">
        <v>46062</v>
      </c>
      <c r="N497" s="38" t="s">
        <v>842</v>
      </c>
      <c r="O497" s="38" t="s">
        <v>390</v>
      </c>
      <c r="P497" s="38" t="s">
        <v>842</v>
      </c>
      <c r="Q497" s="38" t="s">
        <v>1559</v>
      </c>
      <c r="R497" s="38"/>
      <c r="S497" s="38" t="s">
        <v>834</v>
      </c>
    </row>
    <row r="498" spans="1:19" ht="19.2" x14ac:dyDescent="0.3">
      <c r="A498" s="47">
        <v>1082907263</v>
      </c>
      <c r="B498" s="39">
        <v>46097</v>
      </c>
      <c r="C498" s="38" t="s">
        <v>1435</v>
      </c>
      <c r="D498" s="47">
        <v>1082907263</v>
      </c>
      <c r="E498" s="38" t="s">
        <v>349</v>
      </c>
      <c r="F498" s="37" t="s">
        <v>1469</v>
      </c>
      <c r="G498" s="38">
        <v>3017399269</v>
      </c>
      <c r="H498" s="38">
        <v>1</v>
      </c>
      <c r="I498" s="38" t="s">
        <v>638</v>
      </c>
      <c r="J498" s="38" t="e">
        <v>#REF!</v>
      </c>
      <c r="K498" s="38" t="s">
        <v>1418</v>
      </c>
      <c r="L498" s="38"/>
      <c r="M498" s="39"/>
      <c r="N498" s="38" t="s">
        <v>842</v>
      </c>
      <c r="O498" s="38" t="s">
        <v>390</v>
      </c>
      <c r="P498" s="38" t="s">
        <v>843</v>
      </c>
      <c r="Q498" s="38"/>
      <c r="R498" s="38"/>
      <c r="S498" s="38"/>
    </row>
    <row r="499" spans="1:19" ht="19.2" hidden="1" x14ac:dyDescent="0.3">
      <c r="A499" s="47">
        <v>1082913711</v>
      </c>
      <c r="B499" s="48">
        <v>46017</v>
      </c>
      <c r="C499" s="36" t="s">
        <v>228</v>
      </c>
      <c r="D499" s="47">
        <v>1082913711</v>
      </c>
      <c r="E499" s="36" t="s">
        <v>261</v>
      </c>
      <c r="F499" s="37" t="s">
        <v>229</v>
      </c>
      <c r="G499" s="36">
        <v>3207674159</v>
      </c>
      <c r="H499" s="36">
        <v>1</v>
      </c>
      <c r="I499" s="38" t="s">
        <v>678</v>
      </c>
      <c r="J499" s="38" t="s">
        <v>983</v>
      </c>
      <c r="K499" s="36" t="s">
        <v>242</v>
      </c>
      <c r="L499" s="36"/>
      <c r="M499" s="39">
        <v>46035</v>
      </c>
      <c r="N499" s="38" t="s">
        <v>842</v>
      </c>
      <c r="O499" s="38" t="s">
        <v>380</v>
      </c>
      <c r="P499" s="38" t="s">
        <v>842</v>
      </c>
      <c r="Q499" s="38" t="s">
        <v>1559</v>
      </c>
      <c r="R499" s="38"/>
      <c r="S499" s="38" t="s">
        <v>242</v>
      </c>
    </row>
    <row r="500" spans="1:19" ht="19.2" x14ac:dyDescent="0.3">
      <c r="A500" s="47">
        <v>1082928869</v>
      </c>
      <c r="B500" s="39">
        <v>46062</v>
      </c>
      <c r="C500" s="36" t="s">
        <v>1003</v>
      </c>
      <c r="D500" s="47">
        <v>1082928869</v>
      </c>
      <c r="E500" s="38" t="s">
        <v>101</v>
      </c>
      <c r="F500" s="37" t="s">
        <v>1004</v>
      </c>
      <c r="G500" s="38" t="s">
        <v>1005</v>
      </c>
      <c r="H500" s="38">
        <v>1</v>
      </c>
      <c r="I500" s="38" t="s">
        <v>678</v>
      </c>
      <c r="J500" s="38" t="s">
        <v>983</v>
      </c>
      <c r="K500" s="38"/>
      <c r="L500" s="38" t="s">
        <v>996</v>
      </c>
      <c r="M500" s="39">
        <v>46069</v>
      </c>
      <c r="N500" s="38" t="s">
        <v>843</v>
      </c>
      <c r="O500" s="38" t="s">
        <v>390</v>
      </c>
      <c r="P500" s="38" t="s">
        <v>843</v>
      </c>
      <c r="Q500" s="38" t="s">
        <v>1558</v>
      </c>
      <c r="R500" s="38"/>
      <c r="S500" s="38"/>
    </row>
    <row r="501" spans="1:19" ht="19.2" x14ac:dyDescent="0.3">
      <c r="A501" s="47">
        <v>1082977578</v>
      </c>
      <c r="B501" s="39">
        <v>46133</v>
      </c>
      <c r="C501" s="36" t="s">
        <v>1672</v>
      </c>
      <c r="D501" s="47">
        <v>1082977578</v>
      </c>
      <c r="E501" s="38" t="s">
        <v>101</v>
      </c>
      <c r="F501" s="37" t="s">
        <v>1679</v>
      </c>
      <c r="G501" s="38">
        <v>3007849211</v>
      </c>
      <c r="H501" s="38">
        <v>1</v>
      </c>
      <c r="I501" s="38" t="s">
        <v>678</v>
      </c>
      <c r="J501" s="38" t="s">
        <v>983</v>
      </c>
      <c r="K501" s="38" t="s">
        <v>1686</v>
      </c>
      <c r="L501" s="38"/>
      <c r="M501" s="39"/>
      <c r="N501" s="38" t="s">
        <v>842</v>
      </c>
      <c r="O501" s="38" t="s">
        <v>390</v>
      </c>
      <c r="P501" s="38" t="s">
        <v>843</v>
      </c>
      <c r="Q501" s="38"/>
      <c r="R501" s="38"/>
      <c r="S501" s="38"/>
    </row>
    <row r="502" spans="1:19" ht="19.2" x14ac:dyDescent="0.3">
      <c r="A502" s="47">
        <v>1082977834</v>
      </c>
      <c r="B502" s="39">
        <v>46062</v>
      </c>
      <c r="C502" s="36" t="s">
        <v>1006</v>
      </c>
      <c r="D502" s="47">
        <v>1082977834</v>
      </c>
      <c r="E502" s="38" t="s">
        <v>101</v>
      </c>
      <c r="F502" s="37" t="s">
        <v>1007</v>
      </c>
      <c r="G502" s="38">
        <v>3103719283</v>
      </c>
      <c r="H502" s="38">
        <v>1</v>
      </c>
      <c r="I502" s="38" t="s">
        <v>678</v>
      </c>
      <c r="J502" s="38" t="s">
        <v>983</v>
      </c>
      <c r="K502" s="38"/>
      <c r="L502" s="38" t="s">
        <v>996</v>
      </c>
      <c r="M502" s="39">
        <v>46069</v>
      </c>
      <c r="N502" s="38" t="s">
        <v>843</v>
      </c>
      <c r="O502" s="38" t="s">
        <v>390</v>
      </c>
      <c r="P502" s="38" t="s">
        <v>843</v>
      </c>
      <c r="Q502" s="38" t="s">
        <v>1558</v>
      </c>
      <c r="R502" s="38"/>
      <c r="S502" s="38"/>
    </row>
    <row r="503" spans="1:19" ht="19.2" x14ac:dyDescent="0.3">
      <c r="A503" s="47">
        <v>1083014875</v>
      </c>
      <c r="B503" s="39">
        <v>46133</v>
      </c>
      <c r="C503" s="36" t="s">
        <v>1651</v>
      </c>
      <c r="D503" s="47">
        <v>1083014875</v>
      </c>
      <c r="E503" s="38" t="s">
        <v>101</v>
      </c>
      <c r="F503" s="37" t="s">
        <v>1662</v>
      </c>
      <c r="G503" s="38">
        <v>3042479268</v>
      </c>
      <c r="H503" s="38">
        <v>1</v>
      </c>
      <c r="I503" s="38" t="s">
        <v>678</v>
      </c>
      <c r="J503" s="38" t="s">
        <v>983</v>
      </c>
      <c r="K503" s="38" t="s">
        <v>1656</v>
      </c>
      <c r="L503" s="38"/>
      <c r="M503" s="39"/>
      <c r="N503" s="38" t="s">
        <v>842</v>
      </c>
      <c r="O503" s="38" t="s">
        <v>390</v>
      </c>
      <c r="P503" s="38" t="s">
        <v>843</v>
      </c>
      <c r="Q503" s="38"/>
      <c r="R503" s="38"/>
      <c r="S503" s="38"/>
    </row>
    <row r="504" spans="1:19" ht="19.2" x14ac:dyDescent="0.3">
      <c r="A504" s="47">
        <v>1084866891</v>
      </c>
      <c r="B504" s="39">
        <v>46073</v>
      </c>
      <c r="C504" s="36" t="s">
        <v>1330</v>
      </c>
      <c r="D504" s="47">
        <v>1084866891</v>
      </c>
      <c r="E504" s="38" t="s">
        <v>101</v>
      </c>
      <c r="F504" s="37" t="s">
        <v>1345</v>
      </c>
      <c r="G504" s="38">
        <v>3228147277</v>
      </c>
      <c r="H504" s="38">
        <v>4</v>
      </c>
      <c r="I504" s="38" t="s">
        <v>661</v>
      </c>
      <c r="J504" s="38" t="e">
        <v>#REF!</v>
      </c>
      <c r="K504" s="38" t="s">
        <v>1335</v>
      </c>
      <c r="L504" s="38"/>
      <c r="M504" s="39"/>
      <c r="N504" s="38" t="s">
        <v>842</v>
      </c>
      <c r="O504" s="38" t="s">
        <v>390</v>
      </c>
      <c r="P504" s="38" t="s">
        <v>843</v>
      </c>
      <c r="Q504" s="38"/>
      <c r="R504" s="38"/>
      <c r="S504" s="38"/>
    </row>
    <row r="505" spans="1:19" ht="40.799999999999997" customHeight="1" x14ac:dyDescent="0.3">
      <c r="A505" s="47">
        <v>1085244085</v>
      </c>
      <c r="B505" s="39">
        <v>46066</v>
      </c>
      <c r="C505" s="36" t="s">
        <v>1170</v>
      </c>
      <c r="D505" s="47">
        <v>1085244085</v>
      </c>
      <c r="E505" s="38" t="s">
        <v>349</v>
      </c>
      <c r="F505" s="37" t="s">
        <v>1171</v>
      </c>
      <c r="G505" s="38">
        <v>3017218919</v>
      </c>
      <c r="H505" s="38">
        <v>5</v>
      </c>
      <c r="I505" s="38" t="s">
        <v>645</v>
      </c>
      <c r="J505" s="38" t="e">
        <v>#REF!</v>
      </c>
      <c r="K505" s="38" t="s">
        <v>1152</v>
      </c>
      <c r="L505" s="38"/>
      <c r="M505" s="39">
        <v>46076</v>
      </c>
      <c r="N505" s="38" t="s">
        <v>842</v>
      </c>
      <c r="O505" s="38" t="s">
        <v>390</v>
      </c>
      <c r="P505" s="38" t="s">
        <v>1555</v>
      </c>
      <c r="Q505" s="38" t="s">
        <v>1561</v>
      </c>
      <c r="R505" s="38"/>
      <c r="S505" s="38"/>
    </row>
    <row r="506" spans="1:19" ht="19.2" customHeight="1" x14ac:dyDescent="0.2">
      <c r="A506" s="47">
        <v>1085245667</v>
      </c>
      <c r="B506" s="48">
        <v>46050</v>
      </c>
      <c r="C506" s="36" t="s">
        <v>811</v>
      </c>
      <c r="D506" s="47">
        <v>1085245667</v>
      </c>
      <c r="E506" s="36" t="s">
        <v>101</v>
      </c>
      <c r="F506" s="37" t="s">
        <v>812</v>
      </c>
      <c r="G506" s="36">
        <v>3158356222</v>
      </c>
      <c r="H506" s="52">
        <v>5</v>
      </c>
      <c r="I506" s="38" t="s">
        <v>645</v>
      </c>
      <c r="J506" s="38" t="s">
        <v>664</v>
      </c>
      <c r="K506" s="52" t="s">
        <v>834</v>
      </c>
      <c r="L506" s="52"/>
      <c r="M506" s="39">
        <v>46062</v>
      </c>
      <c r="N506" s="38" t="s">
        <v>842</v>
      </c>
      <c r="O506" s="38" t="s">
        <v>390</v>
      </c>
      <c r="P506" s="38" t="s">
        <v>842</v>
      </c>
      <c r="Q506" s="38" t="s">
        <v>1559</v>
      </c>
      <c r="R506" s="38"/>
      <c r="S506" s="38" t="s">
        <v>834</v>
      </c>
    </row>
    <row r="507" spans="1:19" ht="19.2" x14ac:dyDescent="0.3">
      <c r="A507" s="47">
        <v>1085260120</v>
      </c>
      <c r="B507" s="48">
        <v>46017</v>
      </c>
      <c r="C507" s="36" t="s">
        <v>224</v>
      </c>
      <c r="D507" s="47">
        <v>1085260120</v>
      </c>
      <c r="E507" s="36" t="s">
        <v>101</v>
      </c>
      <c r="F507" s="37" t="s">
        <v>225</v>
      </c>
      <c r="G507" s="36">
        <v>3175013807</v>
      </c>
      <c r="H507" s="36">
        <v>5</v>
      </c>
      <c r="I507" s="38" t="s">
        <v>645</v>
      </c>
      <c r="J507" s="38" t="s">
        <v>701</v>
      </c>
      <c r="K507" s="36" t="s">
        <v>242</v>
      </c>
      <c r="L507" s="36"/>
      <c r="M507" s="39">
        <v>46035</v>
      </c>
      <c r="N507" s="38" t="s">
        <v>842</v>
      </c>
      <c r="O507" s="38" t="s">
        <v>390</v>
      </c>
      <c r="P507" s="38" t="s">
        <v>842</v>
      </c>
      <c r="Q507" s="38" t="s">
        <v>1559</v>
      </c>
      <c r="R507" s="38"/>
      <c r="S507" s="38" t="s">
        <v>242</v>
      </c>
    </row>
    <row r="508" spans="1:19" ht="39.6" hidden="1" customHeight="1" x14ac:dyDescent="0.3">
      <c r="A508" s="47">
        <v>1085274934</v>
      </c>
      <c r="B508" s="49">
        <v>46020</v>
      </c>
      <c r="C508" s="36" t="s">
        <v>99</v>
      </c>
      <c r="D508" s="47">
        <v>1085274934</v>
      </c>
      <c r="E508" s="36" t="s">
        <v>389</v>
      </c>
      <c r="F508" s="37" t="s">
        <v>100</v>
      </c>
      <c r="G508" s="36">
        <v>3114938756</v>
      </c>
      <c r="H508" s="36">
        <v>5</v>
      </c>
      <c r="I508" s="38" t="s">
        <v>645</v>
      </c>
      <c r="J508" s="38" t="s">
        <v>646</v>
      </c>
      <c r="K508" s="36"/>
      <c r="L508" s="36" t="s">
        <v>244</v>
      </c>
      <c r="M508" s="39">
        <v>46035</v>
      </c>
      <c r="N508" s="38" t="s">
        <v>843</v>
      </c>
      <c r="O508" s="38" t="s">
        <v>390</v>
      </c>
      <c r="P508" s="38" t="s">
        <v>843</v>
      </c>
      <c r="Q508" s="38" t="s">
        <v>1558</v>
      </c>
      <c r="R508" s="38"/>
      <c r="S508" s="38"/>
    </row>
    <row r="509" spans="1:19" ht="39.6" customHeight="1" x14ac:dyDescent="0.3">
      <c r="A509" s="47">
        <v>1085275813</v>
      </c>
      <c r="B509" s="39">
        <v>46062</v>
      </c>
      <c r="C509" s="36" t="s">
        <v>1030</v>
      </c>
      <c r="D509" s="47">
        <v>1085275813</v>
      </c>
      <c r="E509" s="38" t="s">
        <v>101</v>
      </c>
      <c r="F509" s="37" t="s">
        <v>1031</v>
      </c>
      <c r="G509" s="38">
        <v>3113630778</v>
      </c>
      <c r="H509" s="38">
        <v>5</v>
      </c>
      <c r="I509" s="38" t="s">
        <v>645</v>
      </c>
      <c r="J509" s="38" t="s">
        <v>664</v>
      </c>
      <c r="K509" s="38" t="s">
        <v>1017</v>
      </c>
      <c r="L509" s="38"/>
      <c r="M509" s="39">
        <v>46069</v>
      </c>
      <c r="N509" s="38" t="s">
        <v>842</v>
      </c>
      <c r="O509" s="38" t="s">
        <v>390</v>
      </c>
      <c r="P509" s="38" t="s">
        <v>843</v>
      </c>
      <c r="Q509" s="38" t="s">
        <v>1561</v>
      </c>
      <c r="R509" s="38"/>
      <c r="S509" s="38"/>
    </row>
    <row r="510" spans="1:19" ht="39.6" customHeight="1" x14ac:dyDescent="0.3">
      <c r="A510" s="47">
        <v>1085282057</v>
      </c>
      <c r="B510" s="39">
        <v>46073</v>
      </c>
      <c r="C510" s="36" t="s">
        <v>1269</v>
      </c>
      <c r="D510" s="47">
        <v>1085282057</v>
      </c>
      <c r="E510" s="38" t="s">
        <v>101</v>
      </c>
      <c r="F510" s="37" t="s">
        <v>1270</v>
      </c>
      <c r="G510" s="38">
        <v>3116998830</v>
      </c>
      <c r="H510" s="38">
        <v>5</v>
      </c>
      <c r="I510" s="38" t="s">
        <v>645</v>
      </c>
      <c r="J510" s="38" t="s">
        <v>664</v>
      </c>
      <c r="K510" s="38" t="s">
        <v>1228</v>
      </c>
      <c r="L510" s="38"/>
      <c r="M510" s="39">
        <v>46076</v>
      </c>
      <c r="N510" s="38" t="s">
        <v>842</v>
      </c>
      <c r="O510" s="38" t="s">
        <v>390</v>
      </c>
      <c r="P510" s="38" t="s">
        <v>1555</v>
      </c>
      <c r="Q510" s="38" t="s">
        <v>1561</v>
      </c>
      <c r="R510" s="38"/>
      <c r="S510" s="38"/>
    </row>
    <row r="511" spans="1:19" ht="39.6" customHeight="1" x14ac:dyDescent="0.3">
      <c r="A511" s="47">
        <v>1085287821</v>
      </c>
      <c r="B511" s="39">
        <v>46062</v>
      </c>
      <c r="C511" s="36" t="s">
        <v>1081</v>
      </c>
      <c r="D511" s="47">
        <v>1085287821</v>
      </c>
      <c r="E511" s="38" t="s">
        <v>101</v>
      </c>
      <c r="F511" s="37" t="s">
        <v>1082</v>
      </c>
      <c r="G511" s="38" t="s">
        <v>1083</v>
      </c>
      <c r="H511" s="38">
        <v>5</v>
      </c>
      <c r="I511" s="38" t="s">
        <v>645</v>
      </c>
      <c r="J511" s="38" t="s">
        <v>689</v>
      </c>
      <c r="K511" s="38" t="s">
        <v>1064</v>
      </c>
      <c r="L511" s="38"/>
      <c r="M511" s="39">
        <v>46072</v>
      </c>
      <c r="N511" s="38" t="s">
        <v>842</v>
      </c>
      <c r="O511" s="38" t="s">
        <v>390</v>
      </c>
      <c r="P511" s="38" t="s">
        <v>843</v>
      </c>
      <c r="Q511" s="38" t="s">
        <v>1561</v>
      </c>
      <c r="R511" s="38"/>
      <c r="S511" s="38"/>
    </row>
    <row r="512" spans="1:19" ht="39.6" customHeight="1" x14ac:dyDescent="0.3">
      <c r="A512" s="47">
        <v>1085294943</v>
      </c>
      <c r="B512" s="39">
        <v>46062</v>
      </c>
      <c r="C512" s="36" t="s">
        <v>1127</v>
      </c>
      <c r="D512" s="47">
        <v>1085294943</v>
      </c>
      <c r="E512" s="38" t="s">
        <v>101</v>
      </c>
      <c r="F512" s="37" t="s">
        <v>1128</v>
      </c>
      <c r="G512" s="38">
        <v>3145082459</v>
      </c>
      <c r="H512" s="38">
        <v>5</v>
      </c>
      <c r="I512" s="38" t="s">
        <v>645</v>
      </c>
      <c r="J512" s="38" t="s">
        <v>1132</v>
      </c>
      <c r="K512" s="38" t="s">
        <v>1126</v>
      </c>
      <c r="L512" s="38"/>
      <c r="M512" s="39"/>
      <c r="N512" s="38" t="s">
        <v>842</v>
      </c>
      <c r="O512" s="38" t="s">
        <v>390</v>
      </c>
      <c r="P512" s="38" t="s">
        <v>843</v>
      </c>
      <c r="Q512" s="38"/>
      <c r="R512" s="38"/>
      <c r="S512" s="38"/>
    </row>
    <row r="513" spans="1:19" ht="39.6" hidden="1" customHeight="1" x14ac:dyDescent="0.3">
      <c r="A513" s="47">
        <v>1085903046</v>
      </c>
      <c r="B513" s="39">
        <v>46106</v>
      </c>
      <c r="C513" s="36" t="s">
        <v>1502</v>
      </c>
      <c r="D513" s="47">
        <v>1085903046</v>
      </c>
      <c r="E513" s="38" t="s">
        <v>1504</v>
      </c>
      <c r="F513" s="37" t="s">
        <v>1513</v>
      </c>
      <c r="G513" s="38">
        <v>3002115581</v>
      </c>
      <c r="H513" s="38">
        <v>5</v>
      </c>
      <c r="I513" s="38" t="s">
        <v>645</v>
      </c>
      <c r="J513" s="38" t="s">
        <v>664</v>
      </c>
      <c r="K513" s="38" t="s">
        <v>1523</v>
      </c>
      <c r="L513" s="38"/>
      <c r="M513" s="39"/>
      <c r="N513" s="38" t="s">
        <v>842</v>
      </c>
      <c r="O513" s="38" t="s">
        <v>390</v>
      </c>
      <c r="P513" s="38" t="s">
        <v>843</v>
      </c>
      <c r="Q513" s="38"/>
      <c r="R513" s="38"/>
      <c r="S513" s="38"/>
    </row>
    <row r="514" spans="1:19" ht="39.6" customHeight="1" x14ac:dyDescent="0.3">
      <c r="A514" s="47">
        <v>1086755543</v>
      </c>
      <c r="B514" s="39">
        <v>46062</v>
      </c>
      <c r="C514" s="36" t="s">
        <v>1025</v>
      </c>
      <c r="D514" s="47">
        <v>1086755543</v>
      </c>
      <c r="E514" s="38" t="s">
        <v>101</v>
      </c>
      <c r="F514" s="37" t="s">
        <v>1026</v>
      </c>
      <c r="G514" s="38">
        <v>3155249955</v>
      </c>
      <c r="H514" s="38">
        <v>5</v>
      </c>
      <c r="I514" s="38" t="s">
        <v>645</v>
      </c>
      <c r="J514" s="38" t="s">
        <v>689</v>
      </c>
      <c r="K514" s="38" t="s">
        <v>1017</v>
      </c>
      <c r="L514" s="38"/>
      <c r="M514" s="39">
        <v>46072</v>
      </c>
      <c r="N514" s="38" t="s">
        <v>842</v>
      </c>
      <c r="O514" s="38" t="s">
        <v>390</v>
      </c>
      <c r="P514" s="38" t="s">
        <v>842</v>
      </c>
      <c r="Q514" s="38" t="s">
        <v>1559</v>
      </c>
      <c r="R514" s="38" t="s">
        <v>1585</v>
      </c>
      <c r="S514" s="38"/>
    </row>
    <row r="515" spans="1:19" ht="39.6" customHeight="1" x14ac:dyDescent="0.3">
      <c r="A515" s="47">
        <v>1087007008</v>
      </c>
      <c r="B515" s="39">
        <v>46062</v>
      </c>
      <c r="C515" s="36" t="s">
        <v>1138</v>
      </c>
      <c r="D515" s="47">
        <v>1087007008</v>
      </c>
      <c r="E515" s="38" t="s">
        <v>101</v>
      </c>
      <c r="F515" s="37" t="s">
        <v>1139</v>
      </c>
      <c r="G515" s="38">
        <v>3106318763</v>
      </c>
      <c r="H515" s="38">
        <v>5</v>
      </c>
      <c r="I515" s="38" t="s">
        <v>645</v>
      </c>
      <c r="J515" s="38" t="s">
        <v>664</v>
      </c>
      <c r="K515" s="38"/>
      <c r="L515" s="38" t="s">
        <v>1137</v>
      </c>
      <c r="M515" s="39"/>
      <c r="N515" s="38" t="s">
        <v>843</v>
      </c>
      <c r="O515" s="38" t="s">
        <v>390</v>
      </c>
      <c r="P515" s="38" t="s">
        <v>843</v>
      </c>
      <c r="Q515" s="38"/>
      <c r="R515" s="38"/>
      <c r="S515" s="38"/>
    </row>
    <row r="516" spans="1:19" ht="19.2" x14ac:dyDescent="0.3">
      <c r="A516" s="47">
        <v>1087107385</v>
      </c>
      <c r="B516" s="39">
        <v>46062</v>
      </c>
      <c r="C516" s="36" t="s">
        <v>1104</v>
      </c>
      <c r="D516" s="47">
        <v>1087107385</v>
      </c>
      <c r="E516" s="38" t="s">
        <v>101</v>
      </c>
      <c r="F516" s="37" t="s">
        <v>1086</v>
      </c>
      <c r="G516" s="38">
        <v>3106306080</v>
      </c>
      <c r="H516" s="38">
        <v>5</v>
      </c>
      <c r="I516" s="38" t="s">
        <v>645</v>
      </c>
      <c r="J516" s="38" t="s">
        <v>1118</v>
      </c>
      <c r="K516" s="38" t="s">
        <v>1064</v>
      </c>
      <c r="L516" s="38"/>
      <c r="M516" s="39">
        <v>46072</v>
      </c>
      <c r="N516" s="38" t="s">
        <v>842</v>
      </c>
      <c r="O516" s="38" t="s">
        <v>390</v>
      </c>
      <c r="P516" s="38" t="s">
        <v>843</v>
      </c>
      <c r="Q516" s="38" t="s">
        <v>1561</v>
      </c>
      <c r="R516" s="38"/>
      <c r="S516" s="38"/>
    </row>
    <row r="517" spans="1:19" ht="19.2" x14ac:dyDescent="0.3">
      <c r="A517" s="47">
        <v>1087109934</v>
      </c>
      <c r="B517" s="39">
        <v>46062</v>
      </c>
      <c r="C517" s="36" t="s">
        <v>1045</v>
      </c>
      <c r="D517" s="47">
        <v>1087109934</v>
      </c>
      <c r="E517" s="38" t="s">
        <v>101</v>
      </c>
      <c r="F517" s="37" t="s">
        <v>1046</v>
      </c>
      <c r="G517" s="38">
        <v>3154099364</v>
      </c>
      <c r="H517" s="38">
        <v>5</v>
      </c>
      <c r="I517" s="38" t="s">
        <v>645</v>
      </c>
      <c r="J517" s="38" t="e">
        <v>#REF!</v>
      </c>
      <c r="K517" s="38" t="s">
        <v>1017</v>
      </c>
      <c r="L517" s="38"/>
      <c r="M517" s="39">
        <v>46072</v>
      </c>
      <c r="N517" s="38" t="s">
        <v>842</v>
      </c>
      <c r="O517" s="38" t="s">
        <v>390</v>
      </c>
      <c r="P517" s="38" t="s">
        <v>843</v>
      </c>
      <c r="Q517" s="38" t="s">
        <v>1561</v>
      </c>
      <c r="R517" s="38"/>
      <c r="S517" s="38"/>
    </row>
    <row r="518" spans="1:19" ht="19.2" x14ac:dyDescent="0.3">
      <c r="A518" s="47">
        <v>1087120446</v>
      </c>
      <c r="B518" s="39">
        <v>46073</v>
      </c>
      <c r="C518" s="36" t="s">
        <v>1282</v>
      </c>
      <c r="D518" s="47">
        <v>1087120446</v>
      </c>
      <c r="E518" s="38" t="s">
        <v>101</v>
      </c>
      <c r="F518" s="37" t="s">
        <v>1283</v>
      </c>
      <c r="G518" s="38">
        <v>3163748708</v>
      </c>
      <c r="H518" s="38">
        <v>5</v>
      </c>
      <c r="I518" s="38" t="s">
        <v>645</v>
      </c>
      <c r="J518" s="38" t="s">
        <v>1118</v>
      </c>
      <c r="K518" s="38" t="s">
        <v>1228</v>
      </c>
      <c r="L518" s="38"/>
      <c r="M518" s="39">
        <v>46076</v>
      </c>
      <c r="N518" s="38" t="s">
        <v>842</v>
      </c>
      <c r="O518" s="38" t="s">
        <v>390</v>
      </c>
      <c r="P518" s="38" t="s">
        <v>1555</v>
      </c>
      <c r="Q518" s="38" t="s">
        <v>1561</v>
      </c>
      <c r="R518" s="38"/>
      <c r="S518" s="38"/>
    </row>
    <row r="519" spans="1:19" ht="57.6" customHeight="1" x14ac:dyDescent="0.3">
      <c r="A519" s="47">
        <v>1087126617</v>
      </c>
      <c r="B519" s="39" t="s">
        <v>1216</v>
      </c>
      <c r="C519" s="36" t="s">
        <v>1014</v>
      </c>
      <c r="D519" s="47">
        <v>1087126617</v>
      </c>
      <c r="E519" s="38" t="s">
        <v>101</v>
      </c>
      <c r="F519" s="37" t="s">
        <v>1015</v>
      </c>
      <c r="G519" s="38" t="s">
        <v>1016</v>
      </c>
      <c r="H519" s="38">
        <v>5</v>
      </c>
      <c r="I519" s="38" t="s">
        <v>645</v>
      </c>
      <c r="J519" s="38" t="s">
        <v>1118</v>
      </c>
      <c r="K519" s="38"/>
      <c r="L519" s="38" t="s">
        <v>1538</v>
      </c>
      <c r="M519" s="39">
        <v>46069</v>
      </c>
      <c r="N519" s="38" t="s">
        <v>843</v>
      </c>
      <c r="O519" s="38" t="s">
        <v>390</v>
      </c>
      <c r="P519" s="38" t="s">
        <v>1555</v>
      </c>
      <c r="Q519" s="38" t="s">
        <v>1558</v>
      </c>
      <c r="R519" s="38"/>
      <c r="S519" s="38"/>
    </row>
    <row r="520" spans="1:19" ht="19.2" x14ac:dyDescent="0.3">
      <c r="A520" s="47">
        <v>1087127860</v>
      </c>
      <c r="B520" s="39">
        <v>46073</v>
      </c>
      <c r="C520" s="36" t="s">
        <v>1229</v>
      </c>
      <c r="D520" s="47">
        <v>1087127860</v>
      </c>
      <c r="E520" s="38" t="s">
        <v>101</v>
      </c>
      <c r="F520" s="37" t="s">
        <v>1230</v>
      </c>
      <c r="G520" s="38">
        <v>3218463385</v>
      </c>
      <c r="H520" s="38">
        <v>5</v>
      </c>
      <c r="I520" s="38" t="s">
        <v>645</v>
      </c>
      <c r="J520" s="38" t="s">
        <v>690</v>
      </c>
      <c r="K520" s="38" t="s">
        <v>1228</v>
      </c>
      <c r="L520" s="38"/>
      <c r="M520" s="39">
        <v>46076</v>
      </c>
      <c r="N520" s="38" t="s">
        <v>842</v>
      </c>
      <c r="O520" s="38" t="s">
        <v>390</v>
      </c>
      <c r="P520" s="38" t="s">
        <v>1555</v>
      </c>
      <c r="Q520" s="38" t="s">
        <v>1561</v>
      </c>
      <c r="R520" s="38"/>
      <c r="S520" s="38"/>
    </row>
    <row r="521" spans="1:19" ht="19.2" x14ac:dyDescent="0.3">
      <c r="A521" s="47">
        <v>1087131491</v>
      </c>
      <c r="B521" s="39">
        <v>46062</v>
      </c>
      <c r="C521" s="36" t="s">
        <v>1008</v>
      </c>
      <c r="D521" s="47">
        <v>1087131491</v>
      </c>
      <c r="E521" s="38" t="s">
        <v>101</v>
      </c>
      <c r="F521" s="37" t="s">
        <v>1009</v>
      </c>
      <c r="G521" s="38" t="s">
        <v>1010</v>
      </c>
      <c r="H521" s="38">
        <v>5</v>
      </c>
      <c r="I521" s="38" t="s">
        <v>645</v>
      </c>
      <c r="J521" s="38" t="s">
        <v>1118</v>
      </c>
      <c r="K521" s="38"/>
      <c r="L521" s="38" t="s">
        <v>996</v>
      </c>
      <c r="M521" s="39">
        <v>46069</v>
      </c>
      <c r="N521" s="38" t="s">
        <v>843</v>
      </c>
      <c r="O521" s="38" t="s">
        <v>390</v>
      </c>
      <c r="P521" s="38" t="s">
        <v>843</v>
      </c>
      <c r="Q521" s="38" t="s">
        <v>1558</v>
      </c>
      <c r="R521" s="38"/>
      <c r="S521" s="38"/>
    </row>
    <row r="522" spans="1:19" ht="39.6" customHeight="1" x14ac:dyDescent="0.3">
      <c r="A522" s="47">
        <v>1087189695</v>
      </c>
      <c r="B522" s="39">
        <v>46062</v>
      </c>
      <c r="C522" s="36" t="s">
        <v>1021</v>
      </c>
      <c r="D522" s="47">
        <v>1087189695</v>
      </c>
      <c r="E522" s="38" t="s">
        <v>101</v>
      </c>
      <c r="F522" s="37" t="s">
        <v>1022</v>
      </c>
      <c r="G522" s="38">
        <v>3217132452</v>
      </c>
      <c r="H522" s="38">
        <v>5</v>
      </c>
      <c r="I522" s="38" t="s">
        <v>645</v>
      </c>
      <c r="J522" s="38" t="s">
        <v>690</v>
      </c>
      <c r="K522" s="38" t="s">
        <v>1017</v>
      </c>
      <c r="L522" s="38"/>
      <c r="M522" s="39">
        <v>46072</v>
      </c>
      <c r="N522" s="38" t="s">
        <v>842</v>
      </c>
      <c r="O522" s="38" t="s">
        <v>390</v>
      </c>
      <c r="P522" s="38" t="s">
        <v>843</v>
      </c>
      <c r="Q522" s="38" t="s">
        <v>1561</v>
      </c>
      <c r="R522" s="38"/>
      <c r="S522" s="38"/>
    </row>
    <row r="523" spans="1:19" ht="19.2" x14ac:dyDescent="0.3">
      <c r="A523" s="47">
        <v>1087205754</v>
      </c>
      <c r="B523" s="39">
        <v>46062</v>
      </c>
      <c r="C523" s="36" t="s">
        <v>1011</v>
      </c>
      <c r="D523" s="47">
        <v>1087205754</v>
      </c>
      <c r="E523" s="38" t="s">
        <v>101</v>
      </c>
      <c r="F523" s="37" t="s">
        <v>1012</v>
      </c>
      <c r="G523" s="38" t="s">
        <v>1013</v>
      </c>
      <c r="H523" s="38">
        <v>5</v>
      </c>
      <c r="I523" s="38" t="s">
        <v>645</v>
      </c>
      <c r="J523" s="38" t="e">
        <v>#REF!</v>
      </c>
      <c r="K523" s="38"/>
      <c r="L523" s="38" t="s">
        <v>996</v>
      </c>
      <c r="M523" s="39">
        <v>46069</v>
      </c>
      <c r="N523" s="38" t="s">
        <v>843</v>
      </c>
      <c r="O523" s="38" t="s">
        <v>390</v>
      </c>
      <c r="P523" s="38" t="s">
        <v>843</v>
      </c>
      <c r="Q523" s="38" t="s">
        <v>1558</v>
      </c>
      <c r="R523" s="38"/>
      <c r="S523" s="38"/>
    </row>
    <row r="524" spans="1:19" ht="19.2" x14ac:dyDescent="0.3">
      <c r="A524" s="47">
        <v>1088596639</v>
      </c>
      <c r="B524" s="39">
        <v>46062</v>
      </c>
      <c r="C524" s="36" t="s">
        <v>1077</v>
      </c>
      <c r="D524" s="47">
        <v>1088596639</v>
      </c>
      <c r="E524" s="38" t="s">
        <v>101</v>
      </c>
      <c r="F524" s="37" t="s">
        <v>1078</v>
      </c>
      <c r="G524" s="38">
        <v>3133009656</v>
      </c>
      <c r="H524" s="38">
        <v>5</v>
      </c>
      <c r="I524" s="38" t="s">
        <v>645</v>
      </c>
      <c r="J524" s="38" t="s">
        <v>1122</v>
      </c>
      <c r="K524" s="38" t="s">
        <v>1064</v>
      </c>
      <c r="L524" s="38"/>
      <c r="M524" s="39">
        <v>46072</v>
      </c>
      <c r="N524" s="38" t="s">
        <v>842</v>
      </c>
      <c r="O524" s="38" t="s">
        <v>390</v>
      </c>
      <c r="P524" s="38" t="s">
        <v>843</v>
      </c>
      <c r="Q524" s="38" t="s">
        <v>1561</v>
      </c>
      <c r="R524" s="38"/>
      <c r="S524" s="38"/>
    </row>
    <row r="525" spans="1:19" ht="19.2" x14ac:dyDescent="0.3">
      <c r="A525" s="47">
        <v>1089244842</v>
      </c>
      <c r="B525" s="39">
        <v>46062</v>
      </c>
      <c r="C525" s="36" t="s">
        <v>1107</v>
      </c>
      <c r="D525" s="47">
        <v>1089244842</v>
      </c>
      <c r="E525" s="38" t="s">
        <v>101</v>
      </c>
      <c r="F525" s="37" t="s">
        <v>1108</v>
      </c>
      <c r="G525" s="38">
        <v>3167540016</v>
      </c>
      <c r="H525" s="38">
        <v>5</v>
      </c>
      <c r="I525" s="38" t="s">
        <v>645</v>
      </c>
      <c r="J525" s="38" t="s">
        <v>1125</v>
      </c>
      <c r="K525" s="38"/>
      <c r="L525" s="38" t="s">
        <v>1106</v>
      </c>
      <c r="M525" s="39">
        <v>46069</v>
      </c>
      <c r="N525" s="38" t="s">
        <v>843</v>
      </c>
      <c r="O525" s="38" t="s">
        <v>390</v>
      </c>
      <c r="P525" s="38" t="s">
        <v>843</v>
      </c>
      <c r="Q525" s="38" t="s">
        <v>1558</v>
      </c>
      <c r="R525" s="38"/>
      <c r="S525" s="38"/>
    </row>
    <row r="526" spans="1:19" ht="19.2" hidden="1" customHeight="1" x14ac:dyDescent="0.2">
      <c r="A526" s="47"/>
      <c r="B526" s="39">
        <v>46161</v>
      </c>
      <c r="C526" s="58" t="s">
        <v>1723</v>
      </c>
      <c r="D526" s="58">
        <v>1090424136</v>
      </c>
      <c r="E526" s="58" t="s">
        <v>1724</v>
      </c>
      <c r="F526" s="59" t="s">
        <v>1744</v>
      </c>
      <c r="G526" s="58">
        <v>3204373335</v>
      </c>
      <c r="H526" s="60">
        <v>4</v>
      </c>
      <c r="I526" s="38"/>
      <c r="J526" s="38"/>
      <c r="K526" s="57" t="s">
        <v>1760</v>
      </c>
      <c r="L526" s="38"/>
      <c r="M526" s="39">
        <v>46163</v>
      </c>
      <c r="N526" s="38" t="s">
        <v>1705</v>
      </c>
      <c r="O526" s="38"/>
      <c r="P526" s="38"/>
      <c r="Q526" s="38"/>
      <c r="R526" s="38"/>
      <c r="S526" s="38"/>
    </row>
    <row r="527" spans="1:19" ht="19.2" x14ac:dyDescent="0.3">
      <c r="A527" s="47">
        <v>1090988078</v>
      </c>
      <c r="B527" s="39">
        <v>46106</v>
      </c>
      <c r="C527" s="36" t="s">
        <v>1500</v>
      </c>
      <c r="D527" s="47">
        <v>1090988078</v>
      </c>
      <c r="E527" s="38" t="s">
        <v>101</v>
      </c>
      <c r="F527" s="37" t="s">
        <v>1511</v>
      </c>
      <c r="G527" s="38">
        <v>3118953640</v>
      </c>
      <c r="H527" s="38">
        <v>3</v>
      </c>
      <c r="I527" s="38" t="s">
        <v>676</v>
      </c>
      <c r="J527" s="38" t="s">
        <v>1522</v>
      </c>
      <c r="K527" s="38" t="s">
        <v>1523</v>
      </c>
      <c r="L527" s="38"/>
      <c r="M527" s="39"/>
      <c r="N527" s="38" t="s">
        <v>842</v>
      </c>
      <c r="O527" s="38" t="s">
        <v>390</v>
      </c>
      <c r="P527" s="38" t="s">
        <v>843</v>
      </c>
      <c r="Q527" s="38"/>
      <c r="R527" s="38"/>
      <c r="S527" s="38"/>
    </row>
    <row r="528" spans="1:19" ht="19.2" hidden="1" customHeight="1" x14ac:dyDescent="0.2">
      <c r="A528" s="47"/>
      <c r="B528" s="39">
        <v>46161</v>
      </c>
      <c r="C528" s="58" t="s">
        <v>1732</v>
      </c>
      <c r="D528" s="58">
        <v>1090990959</v>
      </c>
      <c r="E528" s="58" t="s">
        <v>1731</v>
      </c>
      <c r="F528" s="59" t="s">
        <v>1750</v>
      </c>
      <c r="G528" s="58">
        <v>3162920568</v>
      </c>
      <c r="H528" s="60">
        <v>3</v>
      </c>
      <c r="I528" s="38"/>
      <c r="J528" s="38"/>
      <c r="K528" s="57" t="s">
        <v>1760</v>
      </c>
      <c r="L528" s="38"/>
      <c r="M528" s="39">
        <v>46163</v>
      </c>
      <c r="N528" s="38" t="s">
        <v>1705</v>
      </c>
      <c r="O528" s="38"/>
      <c r="P528" s="38"/>
      <c r="Q528" s="38"/>
      <c r="R528" s="38"/>
      <c r="S528" s="38"/>
    </row>
    <row r="529" spans="1:19" ht="19.2" x14ac:dyDescent="0.3">
      <c r="A529" s="47"/>
      <c r="B529" s="39">
        <v>46161</v>
      </c>
      <c r="C529" s="58" t="s">
        <v>1718</v>
      </c>
      <c r="D529" s="58">
        <v>1091664113</v>
      </c>
      <c r="E529" s="58" t="s">
        <v>1700</v>
      </c>
      <c r="F529" s="59" t="s">
        <v>1738</v>
      </c>
      <c r="G529" s="58">
        <v>3154107539</v>
      </c>
      <c r="H529" s="60">
        <v>3</v>
      </c>
      <c r="I529" s="38"/>
      <c r="J529" s="38"/>
      <c r="K529" s="38"/>
      <c r="L529" s="38" t="s">
        <v>1761</v>
      </c>
      <c r="M529" s="39">
        <v>46163</v>
      </c>
      <c r="N529" s="38" t="s">
        <v>1555</v>
      </c>
      <c r="O529" s="38"/>
      <c r="P529" s="38"/>
      <c r="Q529" s="38"/>
      <c r="R529" s="38"/>
      <c r="S529" s="38"/>
    </row>
    <row r="530" spans="1:19" ht="19.2" x14ac:dyDescent="0.3">
      <c r="A530" s="47">
        <v>1091665088</v>
      </c>
      <c r="B530" s="51">
        <v>46032</v>
      </c>
      <c r="C530" s="36" t="s">
        <v>342</v>
      </c>
      <c r="D530" s="47">
        <v>1091665088</v>
      </c>
      <c r="E530" s="36" t="s">
        <v>101</v>
      </c>
      <c r="F530" s="37" t="s">
        <v>343</v>
      </c>
      <c r="G530" s="38">
        <v>3167534128</v>
      </c>
      <c r="H530" s="38">
        <v>3</v>
      </c>
      <c r="I530" s="38" t="s">
        <v>676</v>
      </c>
      <c r="J530" s="38" t="s">
        <v>713</v>
      </c>
      <c r="K530" s="38" t="s">
        <v>266</v>
      </c>
      <c r="L530" s="38"/>
      <c r="M530" s="39">
        <v>46039</v>
      </c>
      <c r="N530" s="38" t="s">
        <v>842</v>
      </c>
      <c r="O530" s="38" t="s">
        <v>390</v>
      </c>
      <c r="P530" s="38" t="s">
        <v>843</v>
      </c>
      <c r="Q530" s="38" t="s">
        <v>1560</v>
      </c>
      <c r="R530" s="38"/>
      <c r="S530" s="38" t="s">
        <v>266</v>
      </c>
    </row>
    <row r="531" spans="1:19" ht="19.2" hidden="1" x14ac:dyDescent="0.3">
      <c r="A531" s="47">
        <v>1091967573</v>
      </c>
      <c r="B531" s="48">
        <v>46025</v>
      </c>
      <c r="C531" s="36" t="s">
        <v>91</v>
      </c>
      <c r="D531" s="47">
        <v>1091967573</v>
      </c>
      <c r="E531" s="36" t="s">
        <v>384</v>
      </c>
      <c r="F531" s="37" t="s">
        <v>92</v>
      </c>
      <c r="G531" s="36">
        <v>3223167672</v>
      </c>
      <c r="H531" s="36">
        <v>3</v>
      </c>
      <c r="I531" s="38" t="s">
        <v>631</v>
      </c>
      <c r="J531" s="38" t="s">
        <v>631</v>
      </c>
      <c r="K531" s="36" t="s">
        <v>250</v>
      </c>
      <c r="L531" s="36"/>
      <c r="M531" s="39">
        <v>46035</v>
      </c>
      <c r="N531" s="38" t="s">
        <v>842</v>
      </c>
      <c r="O531" s="38" t="s">
        <v>380</v>
      </c>
      <c r="P531" s="38" t="s">
        <v>842</v>
      </c>
      <c r="Q531" s="38" t="s">
        <v>1559</v>
      </c>
      <c r="R531" s="38"/>
      <c r="S531" s="38" t="s">
        <v>250</v>
      </c>
    </row>
    <row r="532" spans="1:19" ht="19.2" x14ac:dyDescent="0.3">
      <c r="A532" s="47">
        <v>1093756198</v>
      </c>
      <c r="B532" s="39">
        <v>46041</v>
      </c>
      <c r="C532" s="36" t="s">
        <v>427</v>
      </c>
      <c r="D532" s="47">
        <v>1093756198</v>
      </c>
      <c r="E532" s="36" t="s">
        <v>349</v>
      </c>
      <c r="F532" s="37" t="s">
        <v>428</v>
      </c>
      <c r="G532" s="38">
        <v>3219180883</v>
      </c>
      <c r="H532" s="38">
        <v>3</v>
      </c>
      <c r="I532" s="38" t="s">
        <v>676</v>
      </c>
      <c r="J532" s="38" t="s">
        <v>986</v>
      </c>
      <c r="K532" s="38" t="s">
        <v>407</v>
      </c>
      <c r="L532" s="38"/>
      <c r="M532" s="39">
        <v>46049</v>
      </c>
      <c r="N532" s="38" t="s">
        <v>842</v>
      </c>
      <c r="O532" s="38" t="s">
        <v>390</v>
      </c>
      <c r="P532" s="38" t="s">
        <v>842</v>
      </c>
      <c r="Q532" s="38" t="s">
        <v>1559</v>
      </c>
      <c r="R532" s="38"/>
      <c r="S532" s="38" t="s">
        <v>407</v>
      </c>
    </row>
    <row r="533" spans="1:19" ht="19.2" x14ac:dyDescent="0.3">
      <c r="A533" s="47">
        <v>1094573089</v>
      </c>
      <c r="B533" s="48">
        <v>46017</v>
      </c>
      <c r="C533" s="36" t="s">
        <v>190</v>
      </c>
      <c r="D533" s="47">
        <v>1094573089</v>
      </c>
      <c r="E533" s="36" t="s">
        <v>101</v>
      </c>
      <c r="F533" s="37" t="s">
        <v>191</v>
      </c>
      <c r="G533" s="36">
        <v>3163364815</v>
      </c>
      <c r="H533" s="36">
        <v>3</v>
      </c>
      <c r="I533" s="38" t="s">
        <v>676</v>
      </c>
      <c r="J533" s="38" t="s">
        <v>702</v>
      </c>
      <c r="K533" s="36" t="s">
        <v>242</v>
      </c>
      <c r="L533" s="36"/>
      <c r="M533" s="39">
        <v>46035</v>
      </c>
      <c r="N533" s="38" t="s">
        <v>842</v>
      </c>
      <c r="O533" s="38" t="s">
        <v>390</v>
      </c>
      <c r="P533" s="38" t="s">
        <v>842</v>
      </c>
      <c r="Q533" s="38" t="s">
        <v>1560</v>
      </c>
      <c r="R533" s="38"/>
      <c r="S533" s="38" t="s">
        <v>242</v>
      </c>
    </row>
    <row r="534" spans="1:19" ht="19.2" customHeight="1" x14ac:dyDescent="0.2">
      <c r="A534" s="47"/>
      <c r="B534" s="39">
        <v>46161</v>
      </c>
      <c r="C534" s="53" t="s">
        <v>1717</v>
      </c>
      <c r="D534" s="53">
        <v>1094578767</v>
      </c>
      <c r="E534" s="53" t="s">
        <v>1700</v>
      </c>
      <c r="F534" s="56" t="s">
        <v>1737</v>
      </c>
      <c r="G534" s="53">
        <v>3178867514</v>
      </c>
      <c r="H534" s="53">
        <v>3</v>
      </c>
      <c r="I534" s="38"/>
      <c r="J534" s="38"/>
      <c r="K534" s="57" t="s">
        <v>1760</v>
      </c>
      <c r="L534" s="38"/>
      <c r="M534" s="39">
        <v>46163</v>
      </c>
      <c r="N534" s="38" t="s">
        <v>1705</v>
      </c>
      <c r="O534" s="38"/>
      <c r="P534" s="38"/>
      <c r="Q534" s="38"/>
      <c r="R534" s="38"/>
      <c r="S534" s="38"/>
    </row>
    <row r="535" spans="1:19" ht="19.2" x14ac:dyDescent="0.3">
      <c r="A535" s="47">
        <v>1094942032</v>
      </c>
      <c r="B535" s="39">
        <v>46073</v>
      </c>
      <c r="C535" s="36" t="s">
        <v>1237</v>
      </c>
      <c r="D535" s="47">
        <v>1094942032</v>
      </c>
      <c r="E535" s="38" t="s">
        <v>101</v>
      </c>
      <c r="F535" s="37" t="s">
        <v>1238</v>
      </c>
      <c r="G535" s="38">
        <v>3165838881</v>
      </c>
      <c r="H535" s="38">
        <v>2</v>
      </c>
      <c r="I535" s="38" t="s">
        <v>1600</v>
      </c>
      <c r="J535" s="38" t="e">
        <v>#REF!</v>
      </c>
      <c r="K535" s="38" t="s">
        <v>1228</v>
      </c>
      <c r="L535" s="38"/>
      <c r="M535" s="39">
        <v>46076</v>
      </c>
      <c r="N535" s="38" t="s">
        <v>842</v>
      </c>
      <c r="O535" s="38" t="s">
        <v>390</v>
      </c>
      <c r="P535" s="38" t="s">
        <v>1555</v>
      </c>
      <c r="Q535" s="38" t="s">
        <v>1561</v>
      </c>
      <c r="R535" s="38"/>
      <c r="S535" s="38"/>
    </row>
    <row r="536" spans="1:19" ht="19.2" customHeight="1" x14ac:dyDescent="0.2">
      <c r="A536" s="47">
        <v>1096231390</v>
      </c>
      <c r="B536" s="48">
        <v>46045</v>
      </c>
      <c r="C536" s="36" t="s">
        <v>813</v>
      </c>
      <c r="D536" s="47">
        <v>1096231390</v>
      </c>
      <c r="E536" s="36" t="s">
        <v>349</v>
      </c>
      <c r="F536" s="37" t="s">
        <v>814</v>
      </c>
      <c r="G536" s="36">
        <v>3133723985</v>
      </c>
      <c r="H536" s="52">
        <v>4</v>
      </c>
      <c r="I536" s="38" t="s">
        <v>632</v>
      </c>
      <c r="J536" s="38" t="s">
        <v>672</v>
      </c>
      <c r="K536" s="52" t="s">
        <v>833</v>
      </c>
      <c r="L536" s="52"/>
      <c r="M536" s="39">
        <v>46062</v>
      </c>
      <c r="N536" s="38" t="s">
        <v>842</v>
      </c>
      <c r="O536" s="38" t="s">
        <v>390</v>
      </c>
      <c r="P536" s="38" t="s">
        <v>843</v>
      </c>
      <c r="Q536" s="38" t="s">
        <v>1561</v>
      </c>
      <c r="R536" s="38"/>
      <c r="S536" s="38" t="s">
        <v>833</v>
      </c>
    </row>
    <row r="537" spans="1:19" ht="19.2" hidden="1" x14ac:dyDescent="0.3">
      <c r="A537" s="47">
        <v>1098607877</v>
      </c>
      <c r="B537" s="50">
        <v>46029</v>
      </c>
      <c r="C537" s="36" t="s">
        <v>30</v>
      </c>
      <c r="D537" s="47">
        <v>1098607877</v>
      </c>
      <c r="E537" s="36" t="s">
        <v>381</v>
      </c>
      <c r="F537" s="37" t="s">
        <v>31</v>
      </c>
      <c r="G537" s="36">
        <v>3015013628</v>
      </c>
      <c r="H537" s="36">
        <v>4</v>
      </c>
      <c r="I537" s="38" t="s">
        <v>631</v>
      </c>
      <c r="J537" s="38" t="s">
        <v>631</v>
      </c>
      <c r="K537" s="36" t="s">
        <v>258</v>
      </c>
      <c r="L537" s="36"/>
      <c r="M537" s="39">
        <v>46035</v>
      </c>
      <c r="N537" s="38" t="s">
        <v>842</v>
      </c>
      <c r="O537" s="38" t="s">
        <v>380</v>
      </c>
      <c r="P537" s="38" t="s">
        <v>842</v>
      </c>
      <c r="Q537" s="38" t="s">
        <v>1560</v>
      </c>
      <c r="R537" s="38" t="s">
        <v>1566</v>
      </c>
      <c r="S537" s="38" t="s">
        <v>258</v>
      </c>
    </row>
    <row r="538" spans="1:19" ht="19.2" x14ac:dyDescent="0.3">
      <c r="A538" s="47">
        <v>1098750306</v>
      </c>
      <c r="B538" s="39">
        <v>46106</v>
      </c>
      <c r="C538" s="36" t="s">
        <v>1497</v>
      </c>
      <c r="D538" s="47">
        <v>1098750306</v>
      </c>
      <c r="E538" s="38" t="s">
        <v>101</v>
      </c>
      <c r="F538" s="37" t="s">
        <v>1509</v>
      </c>
      <c r="G538" s="38">
        <v>3163992408</v>
      </c>
      <c r="H538" s="38">
        <v>3</v>
      </c>
      <c r="I538" s="38" t="s">
        <v>645</v>
      </c>
      <c r="J538" s="38" t="s">
        <v>664</v>
      </c>
      <c r="K538" s="38" t="s">
        <v>1523</v>
      </c>
      <c r="L538" s="38"/>
      <c r="M538" s="39"/>
      <c r="N538" s="38" t="s">
        <v>842</v>
      </c>
      <c r="O538" s="38" t="s">
        <v>390</v>
      </c>
      <c r="P538" s="38" t="s">
        <v>843</v>
      </c>
      <c r="Q538" s="38"/>
      <c r="R538" s="38"/>
      <c r="S538" s="38"/>
    </row>
    <row r="539" spans="1:19" ht="19.2" hidden="1" x14ac:dyDescent="0.3">
      <c r="A539" s="47">
        <v>1098761785</v>
      </c>
      <c r="B539" s="49">
        <v>46020</v>
      </c>
      <c r="C539" s="36" t="s">
        <v>97</v>
      </c>
      <c r="D539" s="47">
        <v>1098761785</v>
      </c>
      <c r="E539" s="36" t="s">
        <v>366</v>
      </c>
      <c r="F539" s="37" t="s">
        <v>98</v>
      </c>
      <c r="G539" s="36">
        <v>3157304369</v>
      </c>
      <c r="H539" s="36">
        <v>3</v>
      </c>
      <c r="I539" s="38" t="s">
        <v>631</v>
      </c>
      <c r="J539" s="38" t="s">
        <v>631</v>
      </c>
      <c r="K539" s="36" t="s">
        <v>243</v>
      </c>
      <c r="L539" s="36"/>
      <c r="M539" s="39">
        <v>46035</v>
      </c>
      <c r="N539" s="38" t="s">
        <v>842</v>
      </c>
      <c r="O539" s="38" t="s">
        <v>380</v>
      </c>
      <c r="P539" s="38" t="s">
        <v>842</v>
      </c>
      <c r="Q539" s="38" t="s">
        <v>1559</v>
      </c>
      <c r="R539" s="38"/>
      <c r="S539" s="38" t="s">
        <v>243</v>
      </c>
    </row>
    <row r="540" spans="1:19" ht="19.2" hidden="1" x14ac:dyDescent="0.3">
      <c r="A540" s="47">
        <v>1098762070</v>
      </c>
      <c r="B540" s="49">
        <v>46020</v>
      </c>
      <c r="C540" s="36" t="s">
        <v>138</v>
      </c>
      <c r="D540" s="47">
        <v>1098762070</v>
      </c>
      <c r="E540" s="36" t="s">
        <v>381</v>
      </c>
      <c r="F540" s="37" t="s">
        <v>9</v>
      </c>
      <c r="G540" s="36">
        <v>3186320168</v>
      </c>
      <c r="H540" s="36">
        <v>3</v>
      </c>
      <c r="I540" s="38" t="s">
        <v>632</v>
      </c>
      <c r="J540" s="38" t="s">
        <v>978</v>
      </c>
      <c r="K540" s="40"/>
      <c r="L540" s="36" t="s">
        <v>255</v>
      </c>
      <c r="M540" s="39">
        <v>46035</v>
      </c>
      <c r="N540" s="38" t="s">
        <v>843</v>
      </c>
      <c r="O540" s="38" t="s">
        <v>380</v>
      </c>
      <c r="P540" s="38" t="s">
        <v>843</v>
      </c>
      <c r="Q540" s="38" t="s">
        <v>1558</v>
      </c>
      <c r="R540" s="38"/>
      <c r="S540" s="38"/>
    </row>
    <row r="541" spans="1:19" ht="19.2" hidden="1" x14ac:dyDescent="0.3">
      <c r="A541" s="61">
        <v>1098812449</v>
      </c>
      <c r="B541" s="50" t="s">
        <v>1490</v>
      </c>
      <c r="C541" s="36" t="s">
        <v>34</v>
      </c>
      <c r="D541" s="61">
        <v>1098812449</v>
      </c>
      <c r="E541" s="36" t="s">
        <v>261</v>
      </c>
      <c r="F541" s="37" t="s">
        <v>35</v>
      </c>
      <c r="G541" s="36">
        <v>3112637825</v>
      </c>
      <c r="H541" s="36">
        <v>3</v>
      </c>
      <c r="I541" s="38" t="s">
        <v>632</v>
      </c>
      <c r="J541" s="38" t="s">
        <v>633</v>
      </c>
      <c r="K541" s="36" t="s">
        <v>1418</v>
      </c>
      <c r="L541" s="36" t="s">
        <v>256</v>
      </c>
      <c r="M541" s="39">
        <v>46035</v>
      </c>
      <c r="N541" s="38" t="s">
        <v>842</v>
      </c>
      <c r="O541" s="38" t="s">
        <v>380</v>
      </c>
      <c r="P541" s="38" t="s">
        <v>843</v>
      </c>
      <c r="Q541" s="38" t="s">
        <v>1558</v>
      </c>
      <c r="R541" s="38"/>
      <c r="S541" s="38"/>
    </row>
    <row r="542" spans="1:19" ht="19.2" hidden="1" x14ac:dyDescent="0.3">
      <c r="A542" s="47">
        <v>1098822161</v>
      </c>
      <c r="B542" s="39">
        <v>46073</v>
      </c>
      <c r="C542" s="36" t="s">
        <v>1325</v>
      </c>
      <c r="D542" s="47">
        <v>1098822161</v>
      </c>
      <c r="E542" s="38" t="s">
        <v>385</v>
      </c>
      <c r="F542" s="37" t="s">
        <v>1336</v>
      </c>
      <c r="G542" s="38">
        <v>7441545</v>
      </c>
      <c r="H542" s="38">
        <v>2</v>
      </c>
      <c r="I542" s="38" t="s">
        <v>631</v>
      </c>
      <c r="J542" s="38" t="s">
        <v>631</v>
      </c>
      <c r="K542" s="38" t="s">
        <v>1335</v>
      </c>
      <c r="L542" s="38"/>
      <c r="M542" s="39"/>
      <c r="N542" s="38" t="s">
        <v>842</v>
      </c>
      <c r="O542" s="38" t="s">
        <v>380</v>
      </c>
      <c r="P542" s="38" t="s">
        <v>842</v>
      </c>
      <c r="Q542" s="38"/>
      <c r="R542" s="38"/>
      <c r="S542" s="38"/>
    </row>
    <row r="543" spans="1:19" ht="19.2" x14ac:dyDescent="0.3">
      <c r="A543" s="47">
        <v>1100394243</v>
      </c>
      <c r="B543" s="48">
        <v>46017</v>
      </c>
      <c r="C543" s="36" t="s">
        <v>187</v>
      </c>
      <c r="D543" s="47">
        <v>1100394243</v>
      </c>
      <c r="E543" s="36" t="s">
        <v>101</v>
      </c>
      <c r="F543" s="37" t="s">
        <v>188</v>
      </c>
      <c r="G543" s="36" t="s">
        <v>189</v>
      </c>
      <c r="H543" s="36">
        <v>1</v>
      </c>
      <c r="I543" s="38" t="s">
        <v>636</v>
      </c>
      <c r="J543" s="38" t="s">
        <v>637</v>
      </c>
      <c r="K543" s="36" t="s">
        <v>242</v>
      </c>
      <c r="L543" s="36"/>
      <c r="M543" s="39">
        <v>46035</v>
      </c>
      <c r="N543" s="38" t="s">
        <v>842</v>
      </c>
      <c r="O543" s="38" t="s">
        <v>390</v>
      </c>
      <c r="P543" s="38" t="s">
        <v>842</v>
      </c>
      <c r="Q543" s="38" t="s">
        <v>1559</v>
      </c>
      <c r="R543" s="38"/>
      <c r="S543" s="38" t="s">
        <v>242</v>
      </c>
    </row>
    <row r="544" spans="1:19" ht="19.2" x14ac:dyDescent="0.3">
      <c r="A544" s="47">
        <v>1100956639</v>
      </c>
      <c r="B544" s="39">
        <v>46084</v>
      </c>
      <c r="C544" s="38" t="s">
        <v>1376</v>
      </c>
      <c r="D544" s="47">
        <v>1100956639</v>
      </c>
      <c r="E544" s="38" t="s">
        <v>101</v>
      </c>
      <c r="F544" s="37" t="s">
        <v>1390</v>
      </c>
      <c r="G544" s="38" t="s">
        <v>1391</v>
      </c>
      <c r="H544" s="38">
        <v>3</v>
      </c>
      <c r="I544" s="38" t="s">
        <v>632</v>
      </c>
      <c r="J544" s="38" t="e">
        <v>#REF!</v>
      </c>
      <c r="K544" s="38" t="s">
        <v>1404</v>
      </c>
      <c r="L544" s="38"/>
      <c r="M544" s="39"/>
      <c r="N544" s="38" t="s">
        <v>842</v>
      </c>
      <c r="O544" s="38" t="s">
        <v>390</v>
      </c>
      <c r="P544" s="38" t="s">
        <v>843</v>
      </c>
      <c r="Q544" s="38"/>
      <c r="R544" s="38"/>
      <c r="S544" s="38"/>
    </row>
    <row r="545" spans="1:19" ht="19.2" x14ac:dyDescent="0.3">
      <c r="A545" s="47">
        <v>1101691037</v>
      </c>
      <c r="B545" s="39">
        <v>46045</v>
      </c>
      <c r="C545" s="36" t="s">
        <v>625</v>
      </c>
      <c r="D545" s="47">
        <v>1101691037</v>
      </c>
      <c r="E545" s="36" t="s">
        <v>101</v>
      </c>
      <c r="F545" s="37" t="s">
        <v>610</v>
      </c>
      <c r="G545" s="38">
        <v>3209217787</v>
      </c>
      <c r="H545" s="38">
        <v>3</v>
      </c>
      <c r="I545" s="38" t="s">
        <v>632</v>
      </c>
      <c r="J545" s="38" t="s">
        <v>691</v>
      </c>
      <c r="K545" s="38" t="s">
        <v>589</v>
      </c>
      <c r="L545" s="38"/>
      <c r="M545" s="39">
        <v>46049</v>
      </c>
      <c r="N545" s="38" t="s">
        <v>842</v>
      </c>
      <c r="O545" s="38" t="s">
        <v>390</v>
      </c>
      <c r="P545" s="38" t="s">
        <v>843</v>
      </c>
      <c r="Q545" s="38" t="s">
        <v>1560</v>
      </c>
      <c r="R545" s="38"/>
      <c r="S545" s="38" t="s">
        <v>589</v>
      </c>
    </row>
    <row r="546" spans="1:19" ht="19.2" hidden="1" x14ac:dyDescent="0.3">
      <c r="A546" s="47">
        <v>1102384214</v>
      </c>
      <c r="B546" s="39">
        <v>46084</v>
      </c>
      <c r="C546" s="38" t="s">
        <v>1378</v>
      </c>
      <c r="D546" s="47">
        <v>1102384214</v>
      </c>
      <c r="E546" s="38" t="s">
        <v>385</v>
      </c>
      <c r="F546" s="37" t="s">
        <v>1394</v>
      </c>
      <c r="G546" s="53">
        <v>3155203877</v>
      </c>
      <c r="H546" s="38">
        <v>4</v>
      </c>
      <c r="I546" s="38" t="s">
        <v>631</v>
      </c>
      <c r="J546" s="38" t="s">
        <v>631</v>
      </c>
      <c r="K546" s="38" t="s">
        <v>1404</v>
      </c>
      <c r="L546" s="38"/>
      <c r="M546" s="39"/>
      <c r="N546" s="38" t="s">
        <v>842</v>
      </c>
      <c r="O546" s="38" t="s">
        <v>380</v>
      </c>
      <c r="P546" s="38" t="s">
        <v>843</v>
      </c>
      <c r="Q546" s="38"/>
      <c r="R546" s="38"/>
      <c r="S546" s="38"/>
    </row>
    <row r="547" spans="1:19" ht="28.8" hidden="1" x14ac:dyDescent="0.3">
      <c r="A547" s="47">
        <v>1102724007</v>
      </c>
      <c r="B547" s="49">
        <v>46020</v>
      </c>
      <c r="C547" s="36" t="s">
        <v>8</v>
      </c>
      <c r="D547" s="47">
        <v>1102724007</v>
      </c>
      <c r="E547" s="36" t="s">
        <v>381</v>
      </c>
      <c r="F547" s="37" t="s">
        <v>137</v>
      </c>
      <c r="G547" s="36">
        <v>3132747639</v>
      </c>
      <c r="H547" s="36">
        <v>4</v>
      </c>
      <c r="I547" s="38" t="s">
        <v>631</v>
      </c>
      <c r="J547" s="38" t="s">
        <v>631</v>
      </c>
      <c r="K547" s="40"/>
      <c r="L547" s="36" t="s">
        <v>1539</v>
      </c>
      <c r="M547" s="39">
        <v>46035</v>
      </c>
      <c r="N547" s="38" t="s">
        <v>843</v>
      </c>
      <c r="O547" s="38" t="s">
        <v>380</v>
      </c>
      <c r="P547" s="38" t="s">
        <v>843</v>
      </c>
      <c r="Q547" s="38" t="s">
        <v>1558</v>
      </c>
      <c r="R547" s="38"/>
      <c r="S547" s="38"/>
    </row>
    <row r="548" spans="1:19" ht="19.2" x14ac:dyDescent="0.3">
      <c r="A548" s="47">
        <v>1102826847</v>
      </c>
      <c r="B548" s="39">
        <v>46056</v>
      </c>
      <c r="C548" s="36" t="s">
        <v>874</v>
      </c>
      <c r="D548" s="47">
        <v>1102826847</v>
      </c>
      <c r="E548" s="38" t="s">
        <v>101</v>
      </c>
      <c r="F548" s="37" t="s">
        <v>893</v>
      </c>
      <c r="G548" s="38" t="s">
        <v>909</v>
      </c>
      <c r="H548" s="38">
        <v>1</v>
      </c>
      <c r="I548" s="38" t="s">
        <v>693</v>
      </c>
      <c r="J548" s="38" t="s">
        <v>694</v>
      </c>
      <c r="K548" s="38" t="s">
        <v>870</v>
      </c>
      <c r="L548" s="38"/>
      <c r="M548" s="39">
        <v>46062</v>
      </c>
      <c r="N548" s="38" t="s">
        <v>842</v>
      </c>
      <c r="O548" s="38" t="s">
        <v>390</v>
      </c>
      <c r="P548" s="38" t="s">
        <v>842</v>
      </c>
      <c r="Q548" s="38" t="s">
        <v>1559</v>
      </c>
      <c r="R548" s="38"/>
      <c r="S548" s="38"/>
    </row>
    <row r="549" spans="1:19" ht="19.2" x14ac:dyDescent="0.3">
      <c r="A549" s="47">
        <v>1102838221</v>
      </c>
      <c r="B549" s="39">
        <v>46133</v>
      </c>
      <c r="C549" s="36" t="s">
        <v>1654</v>
      </c>
      <c r="D549" s="47">
        <v>1102838221</v>
      </c>
      <c r="E549" s="38" t="s">
        <v>101</v>
      </c>
      <c r="F549" s="37" t="s">
        <v>1665</v>
      </c>
      <c r="G549" s="38">
        <v>3007099980</v>
      </c>
      <c r="H549" s="38">
        <v>1</v>
      </c>
      <c r="I549" s="38" t="s">
        <v>678</v>
      </c>
      <c r="J549" s="38" t="s">
        <v>983</v>
      </c>
      <c r="K549" s="38" t="s">
        <v>1656</v>
      </c>
      <c r="L549" s="38"/>
      <c r="M549" s="39"/>
      <c r="N549" s="38" t="s">
        <v>842</v>
      </c>
      <c r="O549" s="38" t="s">
        <v>390</v>
      </c>
      <c r="P549" s="38" t="s">
        <v>843</v>
      </c>
      <c r="Q549" s="38"/>
      <c r="R549" s="38"/>
      <c r="S549" s="38"/>
    </row>
    <row r="550" spans="1:19" ht="19.2" x14ac:dyDescent="0.3">
      <c r="A550" s="47">
        <v>1102842776</v>
      </c>
      <c r="B550" s="48">
        <v>46017</v>
      </c>
      <c r="C550" s="36" t="s">
        <v>196</v>
      </c>
      <c r="D550" s="47">
        <v>1102842776</v>
      </c>
      <c r="E550" s="36" t="s">
        <v>101</v>
      </c>
      <c r="F550" s="37" t="s">
        <v>197</v>
      </c>
      <c r="G550" s="36" t="s">
        <v>198</v>
      </c>
      <c r="H550" s="36">
        <v>1</v>
      </c>
      <c r="I550" s="38" t="s">
        <v>693</v>
      </c>
      <c r="J550" s="38" t="s">
        <v>694</v>
      </c>
      <c r="K550" s="36" t="s">
        <v>242</v>
      </c>
      <c r="L550" s="36"/>
      <c r="M550" s="39">
        <v>46035</v>
      </c>
      <c r="N550" s="38" t="s">
        <v>842</v>
      </c>
      <c r="O550" s="38" t="s">
        <v>390</v>
      </c>
      <c r="P550" s="38" t="s">
        <v>842</v>
      </c>
      <c r="Q550" s="38" t="s">
        <v>1559</v>
      </c>
      <c r="R550" s="38"/>
      <c r="S550" s="38" t="s">
        <v>242</v>
      </c>
    </row>
    <row r="551" spans="1:19" ht="19.2" x14ac:dyDescent="0.3">
      <c r="A551" s="47">
        <v>1102866236</v>
      </c>
      <c r="B551" s="39">
        <v>46097</v>
      </c>
      <c r="C551" s="38" t="s">
        <v>1423</v>
      </c>
      <c r="D551" s="47">
        <v>1102866236</v>
      </c>
      <c r="E551" s="38" t="s">
        <v>349</v>
      </c>
      <c r="F551" s="37" t="s">
        <v>1456</v>
      </c>
      <c r="G551" s="38">
        <v>3205274671</v>
      </c>
      <c r="H551" s="38">
        <v>1</v>
      </c>
      <c r="I551" s="38" t="s">
        <v>686</v>
      </c>
      <c r="J551" s="38" t="e">
        <v>#REF!</v>
      </c>
      <c r="K551" s="38" t="s">
        <v>1418</v>
      </c>
      <c r="L551" s="38"/>
      <c r="M551" s="39"/>
      <c r="N551" s="38" t="s">
        <v>842</v>
      </c>
      <c r="O551" s="38" t="s">
        <v>390</v>
      </c>
      <c r="P551" s="38" t="s">
        <v>843</v>
      </c>
      <c r="Q551" s="38"/>
      <c r="R551" s="38"/>
      <c r="S551" s="38"/>
    </row>
    <row r="552" spans="1:19" ht="28.8" x14ac:dyDescent="0.3">
      <c r="A552" s="47">
        <v>1102876117</v>
      </c>
      <c r="B552" s="39">
        <v>46038</v>
      </c>
      <c r="C552" s="36" t="s">
        <v>581</v>
      </c>
      <c r="D552" s="47">
        <v>1102876117</v>
      </c>
      <c r="E552" s="36" t="s">
        <v>349</v>
      </c>
      <c r="F552" s="37" t="s">
        <v>499</v>
      </c>
      <c r="G552" s="38">
        <v>3107969446</v>
      </c>
      <c r="H552" s="38">
        <v>4</v>
      </c>
      <c r="I552" s="38" t="s">
        <v>653</v>
      </c>
      <c r="J552" s="38" t="e">
        <v>#REF!</v>
      </c>
      <c r="K552" s="42"/>
      <c r="L552" s="38" t="s">
        <v>471</v>
      </c>
      <c r="M552" s="39">
        <v>46049</v>
      </c>
      <c r="N552" s="38" t="s">
        <v>843</v>
      </c>
      <c r="O552" s="38" t="s">
        <v>390</v>
      </c>
      <c r="P552" s="38" t="s">
        <v>843</v>
      </c>
      <c r="Q552" s="38" t="s">
        <v>1558</v>
      </c>
      <c r="R552" s="38" t="s">
        <v>1592</v>
      </c>
      <c r="S552" s="38"/>
    </row>
    <row r="553" spans="1:19" ht="19.2" x14ac:dyDescent="0.3">
      <c r="A553" s="47">
        <v>1102877553</v>
      </c>
      <c r="B553" s="39">
        <v>46097</v>
      </c>
      <c r="C553" s="38" t="s">
        <v>1422</v>
      </c>
      <c r="D553" s="47">
        <v>1102877553</v>
      </c>
      <c r="E553" s="38" t="s">
        <v>101</v>
      </c>
      <c r="F553" s="37" t="s">
        <v>1455</v>
      </c>
      <c r="G553" s="38">
        <v>3023527494</v>
      </c>
      <c r="H553" s="38">
        <v>1</v>
      </c>
      <c r="I553" s="38" t="s">
        <v>640</v>
      </c>
      <c r="J553" s="38" t="e">
        <v>#REF!</v>
      </c>
      <c r="K553" s="38" t="s">
        <v>1418</v>
      </c>
      <c r="L553" s="38"/>
      <c r="M553" s="39"/>
      <c r="N553" s="38" t="s">
        <v>842</v>
      </c>
      <c r="O553" s="38" t="s">
        <v>390</v>
      </c>
      <c r="P553" s="38" t="s">
        <v>843</v>
      </c>
      <c r="Q553" s="38"/>
      <c r="R553" s="38"/>
      <c r="S553" s="38"/>
    </row>
    <row r="554" spans="1:19" ht="19.2" x14ac:dyDescent="0.3">
      <c r="A554" s="47">
        <v>1106949670</v>
      </c>
      <c r="B554" s="39">
        <v>46133</v>
      </c>
      <c r="C554" s="36" t="s">
        <v>1671</v>
      </c>
      <c r="D554" s="47">
        <v>1106949670</v>
      </c>
      <c r="E554" s="38" t="s">
        <v>101</v>
      </c>
      <c r="F554" s="37" t="s">
        <v>1678</v>
      </c>
      <c r="G554" s="38">
        <v>3134359730</v>
      </c>
      <c r="H554" s="38">
        <v>2</v>
      </c>
      <c r="I554" s="38" t="s">
        <v>665</v>
      </c>
      <c r="J554" s="38" t="s">
        <v>1685</v>
      </c>
      <c r="K554" s="38" t="s">
        <v>1686</v>
      </c>
      <c r="L554" s="38"/>
      <c r="M554" s="39"/>
      <c r="N554" s="38" t="s">
        <v>842</v>
      </c>
      <c r="O554" s="38" t="s">
        <v>390</v>
      </c>
      <c r="P554" s="38" t="s">
        <v>843</v>
      </c>
      <c r="Q554" s="38"/>
      <c r="R554" s="38"/>
      <c r="S554" s="38"/>
    </row>
    <row r="555" spans="1:19" ht="19.2" x14ac:dyDescent="0.3">
      <c r="A555" s="47">
        <v>1107064993</v>
      </c>
      <c r="B555" s="39">
        <v>46041</v>
      </c>
      <c r="C555" s="36" t="s">
        <v>572</v>
      </c>
      <c r="D555" s="47">
        <v>1107064993</v>
      </c>
      <c r="E555" s="36" t="s">
        <v>101</v>
      </c>
      <c r="F555" s="37" t="s">
        <v>405</v>
      </c>
      <c r="G555" s="38" t="s">
        <v>406</v>
      </c>
      <c r="H555" s="38">
        <v>5</v>
      </c>
      <c r="I555" s="38" t="s">
        <v>652</v>
      </c>
      <c r="J555" s="38" t="e">
        <v>#REF!</v>
      </c>
      <c r="K555" s="42"/>
      <c r="L555" s="38" t="s">
        <v>397</v>
      </c>
      <c r="M555" s="39">
        <v>46049</v>
      </c>
      <c r="N555" s="38" t="s">
        <v>843</v>
      </c>
      <c r="O555" s="38" t="s">
        <v>390</v>
      </c>
      <c r="P555" s="38" t="s">
        <v>843</v>
      </c>
      <c r="Q555" s="38" t="s">
        <v>1558</v>
      </c>
      <c r="R555" s="38"/>
      <c r="S555" s="38"/>
    </row>
    <row r="556" spans="1:19" ht="19.2" x14ac:dyDescent="0.3">
      <c r="A556" s="47">
        <v>1110465299</v>
      </c>
      <c r="B556" s="39">
        <v>46032</v>
      </c>
      <c r="C556" s="36" t="s">
        <v>459</v>
      </c>
      <c r="D556" s="47">
        <v>1110465299</v>
      </c>
      <c r="E556" s="36" t="s">
        <v>101</v>
      </c>
      <c r="F556" s="37" t="s">
        <v>460</v>
      </c>
      <c r="G556" s="38">
        <v>3103071466</v>
      </c>
      <c r="H556" s="38">
        <v>2</v>
      </c>
      <c r="I556" s="38" t="s">
        <v>665</v>
      </c>
      <c r="J556" s="38" t="s">
        <v>666</v>
      </c>
      <c r="K556" s="38" t="s">
        <v>448</v>
      </c>
      <c r="L556" s="39"/>
      <c r="M556" s="39">
        <v>46039</v>
      </c>
      <c r="N556" s="38" t="s">
        <v>842</v>
      </c>
      <c r="O556" s="38" t="s">
        <v>390</v>
      </c>
      <c r="P556" s="38" t="s">
        <v>842</v>
      </c>
      <c r="Q556" s="38" t="s">
        <v>1559</v>
      </c>
      <c r="R556" s="38"/>
      <c r="S556" s="38" t="s">
        <v>448</v>
      </c>
    </row>
    <row r="557" spans="1:19" ht="28.8" x14ac:dyDescent="0.3">
      <c r="A557" s="47">
        <v>1110477277</v>
      </c>
      <c r="B557" s="51">
        <v>46032</v>
      </c>
      <c r="C557" s="36" t="s">
        <v>277</v>
      </c>
      <c r="D557" s="47">
        <v>1110477277</v>
      </c>
      <c r="E557" s="36" t="s">
        <v>101</v>
      </c>
      <c r="F557" s="37" t="s">
        <v>278</v>
      </c>
      <c r="G557" s="43">
        <v>3023238936</v>
      </c>
      <c r="H557" s="38">
        <v>4</v>
      </c>
      <c r="I557" s="38" t="s">
        <v>665</v>
      </c>
      <c r="J557" s="38" t="s">
        <v>666</v>
      </c>
      <c r="K557" s="38" t="s">
        <v>276</v>
      </c>
      <c r="L557" s="38"/>
      <c r="M557" s="39">
        <v>46039</v>
      </c>
      <c r="N557" s="38" t="s">
        <v>842</v>
      </c>
      <c r="O557" s="38" t="s">
        <v>390</v>
      </c>
      <c r="P557" s="38" t="s">
        <v>843</v>
      </c>
      <c r="Q557" s="38" t="s">
        <v>1560</v>
      </c>
      <c r="R557" s="38" t="s">
        <v>1569</v>
      </c>
      <c r="S557" s="38" t="s">
        <v>276</v>
      </c>
    </row>
    <row r="558" spans="1:19" ht="19.2" customHeight="1" x14ac:dyDescent="0.2">
      <c r="A558" s="47">
        <v>1110481286</v>
      </c>
      <c r="B558" s="48">
        <v>46050</v>
      </c>
      <c r="C558" s="36" t="s">
        <v>815</v>
      </c>
      <c r="D558" s="47">
        <v>1110481286</v>
      </c>
      <c r="E558" s="36" t="s">
        <v>101</v>
      </c>
      <c r="F558" s="37" t="s">
        <v>816</v>
      </c>
      <c r="G558" s="36">
        <v>3145284729</v>
      </c>
      <c r="H558" s="52">
        <v>5</v>
      </c>
      <c r="I558" s="38" t="s">
        <v>657</v>
      </c>
      <c r="J558" s="38" t="e">
        <v>#REF!</v>
      </c>
      <c r="K558" s="38" t="s">
        <v>1017</v>
      </c>
      <c r="L558" s="52" t="s">
        <v>836</v>
      </c>
      <c r="M558" s="39">
        <v>46062</v>
      </c>
      <c r="N558" s="38" t="s">
        <v>842</v>
      </c>
      <c r="O558" s="38" t="s">
        <v>390</v>
      </c>
      <c r="P558" s="38" t="s">
        <v>843</v>
      </c>
      <c r="Q558" s="38" t="s">
        <v>1561</v>
      </c>
      <c r="R558" s="38" t="s">
        <v>1583</v>
      </c>
      <c r="S558" s="38"/>
    </row>
    <row r="559" spans="1:19" ht="19.2" x14ac:dyDescent="0.3">
      <c r="A559" s="47">
        <v>1110512462</v>
      </c>
      <c r="B559" s="39">
        <v>46056</v>
      </c>
      <c r="C559" s="36" t="s">
        <v>950</v>
      </c>
      <c r="D559" s="47">
        <v>1110512462</v>
      </c>
      <c r="E559" s="38" t="s">
        <v>349</v>
      </c>
      <c r="F559" s="37" t="s">
        <v>961</v>
      </c>
      <c r="G559" s="38">
        <v>3202601023</v>
      </c>
      <c r="H559" s="38">
        <v>2</v>
      </c>
      <c r="I559" s="38" t="s">
        <v>665</v>
      </c>
      <c r="J559" s="38" t="s">
        <v>666</v>
      </c>
      <c r="K559" s="38" t="s">
        <v>942</v>
      </c>
      <c r="L559" s="38"/>
      <c r="M559" s="39">
        <v>46063</v>
      </c>
      <c r="N559" s="38" t="s">
        <v>842</v>
      </c>
      <c r="O559" s="38" t="s">
        <v>390</v>
      </c>
      <c r="P559" s="38" t="s">
        <v>843</v>
      </c>
      <c r="Q559" s="38" t="s">
        <v>1561</v>
      </c>
      <c r="R559" s="38"/>
      <c r="S559" s="38"/>
    </row>
    <row r="560" spans="1:19" ht="19.2" x14ac:dyDescent="0.3">
      <c r="A560" s="47">
        <v>1110545088</v>
      </c>
      <c r="B560" s="39">
        <v>46062</v>
      </c>
      <c r="C560" s="36" t="s">
        <v>1049</v>
      </c>
      <c r="D560" s="47">
        <v>1110545088</v>
      </c>
      <c r="E560" s="38" t="s">
        <v>349</v>
      </c>
      <c r="F560" s="37" t="s">
        <v>1050</v>
      </c>
      <c r="G560" s="38" t="s">
        <v>1051</v>
      </c>
      <c r="H560" s="38">
        <v>4</v>
      </c>
      <c r="I560" s="38" t="s">
        <v>631</v>
      </c>
      <c r="J560" s="38" t="s">
        <v>631</v>
      </c>
      <c r="K560" s="38" t="s">
        <v>1017</v>
      </c>
      <c r="L560" s="38"/>
      <c r="M560" s="39">
        <v>46072</v>
      </c>
      <c r="N560" s="38" t="s">
        <v>842</v>
      </c>
      <c r="O560" s="38" t="s">
        <v>390</v>
      </c>
      <c r="P560" s="38" t="s">
        <v>843</v>
      </c>
      <c r="Q560" s="38" t="s">
        <v>1561</v>
      </c>
      <c r="R560" s="38"/>
      <c r="S560" s="38"/>
    </row>
    <row r="561" spans="1:19" ht="19.2" hidden="1" x14ac:dyDescent="0.3">
      <c r="A561" s="47">
        <v>1110552706</v>
      </c>
      <c r="B561" s="39">
        <v>46056</v>
      </c>
      <c r="C561" s="36" t="s">
        <v>951</v>
      </c>
      <c r="D561" s="47">
        <v>1110552706</v>
      </c>
      <c r="E561" s="38" t="s">
        <v>261</v>
      </c>
      <c r="F561" s="37" t="s">
        <v>962</v>
      </c>
      <c r="G561" s="38" t="s">
        <v>963</v>
      </c>
      <c r="H561" s="38">
        <v>2</v>
      </c>
      <c r="I561" s="38" t="s">
        <v>665</v>
      </c>
      <c r="J561" s="38" t="s">
        <v>666</v>
      </c>
      <c r="K561" s="38" t="s">
        <v>942</v>
      </c>
      <c r="L561" s="38"/>
      <c r="M561" s="39">
        <v>46062</v>
      </c>
      <c r="N561" s="38" t="s">
        <v>842</v>
      </c>
      <c r="O561" s="38" t="s">
        <v>380</v>
      </c>
      <c r="P561" s="38" t="s">
        <v>843</v>
      </c>
      <c r="Q561" s="38" t="s">
        <v>1561</v>
      </c>
      <c r="R561" s="38"/>
      <c r="S561" s="38"/>
    </row>
    <row r="562" spans="1:19" ht="28.8" x14ac:dyDescent="0.3">
      <c r="A562" s="47">
        <v>1110587428</v>
      </c>
      <c r="B562" s="51">
        <v>46032</v>
      </c>
      <c r="C562" s="36" t="s">
        <v>103</v>
      </c>
      <c r="D562" s="47">
        <v>1110587428</v>
      </c>
      <c r="E562" s="36" t="s">
        <v>101</v>
      </c>
      <c r="F562" s="37" t="s">
        <v>338</v>
      </c>
      <c r="G562" s="38">
        <v>3145801767</v>
      </c>
      <c r="H562" s="38">
        <v>2</v>
      </c>
      <c r="I562" s="38" t="s">
        <v>647</v>
      </c>
      <c r="J562" s="38" t="s">
        <v>712</v>
      </c>
      <c r="K562" s="42"/>
      <c r="L562" s="38" t="s">
        <v>461</v>
      </c>
      <c r="M562" s="39">
        <v>46039</v>
      </c>
      <c r="N562" s="38" t="s">
        <v>843</v>
      </c>
      <c r="O562" s="38" t="s">
        <v>390</v>
      </c>
      <c r="P562" s="38" t="s">
        <v>843</v>
      </c>
      <c r="Q562" s="38" t="s">
        <v>1558</v>
      </c>
      <c r="R562" s="38" t="s">
        <v>369</v>
      </c>
      <c r="S562" s="38"/>
    </row>
    <row r="563" spans="1:19" ht="19.2" x14ac:dyDescent="0.3">
      <c r="A563" s="47">
        <v>1111780999</v>
      </c>
      <c r="B563" s="39">
        <v>46073</v>
      </c>
      <c r="C563" s="36" t="s">
        <v>1224</v>
      </c>
      <c r="D563" s="47">
        <v>1111780999</v>
      </c>
      <c r="E563" s="38" t="s">
        <v>349</v>
      </c>
      <c r="F563" s="37" t="s">
        <v>1225</v>
      </c>
      <c r="G563" s="38">
        <v>3226400154</v>
      </c>
      <c r="H563" s="38">
        <v>5</v>
      </c>
      <c r="I563" s="38" t="s">
        <v>652</v>
      </c>
      <c r="J563" s="38" t="s">
        <v>1117</v>
      </c>
      <c r="K563" s="38"/>
      <c r="L563" s="38" t="s">
        <v>1196</v>
      </c>
      <c r="M563" s="39">
        <v>46076</v>
      </c>
      <c r="N563" s="38" t="s">
        <v>843</v>
      </c>
      <c r="O563" s="38" t="s">
        <v>390</v>
      </c>
      <c r="P563" s="38" t="s">
        <v>1555</v>
      </c>
      <c r="Q563" s="38" t="s">
        <v>1558</v>
      </c>
      <c r="R563" s="38"/>
      <c r="S563" s="38"/>
    </row>
    <row r="564" spans="1:19" ht="19.2" x14ac:dyDescent="0.3">
      <c r="A564" s="47">
        <v>1112463220</v>
      </c>
      <c r="B564" s="51">
        <v>46032</v>
      </c>
      <c r="C564" s="36" t="s">
        <v>328</v>
      </c>
      <c r="D564" s="47">
        <v>1112463220</v>
      </c>
      <c r="E564" s="36" t="s">
        <v>101</v>
      </c>
      <c r="F564" s="37" t="s">
        <v>329</v>
      </c>
      <c r="G564" s="38" t="s">
        <v>330</v>
      </c>
      <c r="H564" s="38">
        <v>5</v>
      </c>
      <c r="I564" s="38" t="s">
        <v>650</v>
      </c>
      <c r="J564" s="38" t="s">
        <v>710</v>
      </c>
      <c r="K564" s="42"/>
      <c r="L564" s="38" t="s">
        <v>271</v>
      </c>
      <c r="M564" s="39">
        <v>46039</v>
      </c>
      <c r="N564" s="38" t="s">
        <v>843</v>
      </c>
      <c r="O564" s="38" t="s">
        <v>390</v>
      </c>
      <c r="P564" s="38" t="s">
        <v>843</v>
      </c>
      <c r="Q564" s="38" t="s">
        <v>1558</v>
      </c>
      <c r="R564" s="38" t="s">
        <v>369</v>
      </c>
      <c r="S564" s="38"/>
    </row>
    <row r="565" spans="1:19" ht="19.2" hidden="1" x14ac:dyDescent="0.3">
      <c r="A565" s="47"/>
      <c r="B565" s="39">
        <v>46163</v>
      </c>
      <c r="C565" s="53" t="s">
        <v>1767</v>
      </c>
      <c r="D565" s="53">
        <v>1112769866</v>
      </c>
      <c r="E565" s="53" t="s">
        <v>1724</v>
      </c>
      <c r="F565" s="56" t="s">
        <v>1774</v>
      </c>
      <c r="G565" s="38"/>
      <c r="H565" s="53">
        <v>5</v>
      </c>
      <c r="I565" s="38"/>
      <c r="J565" s="38"/>
      <c r="K565" s="38" t="s">
        <v>1777</v>
      </c>
      <c r="L565" s="38"/>
      <c r="M565" s="39">
        <v>46165</v>
      </c>
      <c r="N565" s="38" t="s">
        <v>1705</v>
      </c>
      <c r="O565" s="38"/>
      <c r="P565" s="38"/>
      <c r="Q565" s="38"/>
      <c r="R565" s="38"/>
      <c r="S565" s="38"/>
    </row>
    <row r="566" spans="1:19" ht="19.2" x14ac:dyDescent="0.3">
      <c r="A566" s="45">
        <v>1113656928</v>
      </c>
      <c r="B566" s="51">
        <v>46149</v>
      </c>
      <c r="C566" s="45" t="s">
        <v>1707</v>
      </c>
      <c r="D566" s="45">
        <v>1113656928</v>
      </c>
      <c r="E566" s="45" t="s">
        <v>1709</v>
      </c>
      <c r="F566" s="37" t="s">
        <v>1711</v>
      </c>
      <c r="G566" s="45"/>
      <c r="H566" s="45">
        <v>5</v>
      </c>
      <c r="I566" s="38"/>
      <c r="J566" s="38"/>
      <c r="K566" s="38"/>
      <c r="L566" s="38" t="s">
        <v>1695</v>
      </c>
      <c r="M566" s="39">
        <v>46153</v>
      </c>
      <c r="N566" s="38" t="s">
        <v>1555</v>
      </c>
      <c r="O566" s="38"/>
      <c r="P566" s="38" t="s">
        <v>843</v>
      </c>
      <c r="Q566" s="38"/>
      <c r="R566" s="38"/>
      <c r="S566" s="38"/>
    </row>
    <row r="567" spans="1:19" ht="19.2" x14ac:dyDescent="0.3">
      <c r="A567" s="47">
        <v>1114210089</v>
      </c>
      <c r="B567" s="39">
        <v>46041</v>
      </c>
      <c r="C567" s="36" t="s">
        <v>401</v>
      </c>
      <c r="D567" s="47">
        <v>1114210089</v>
      </c>
      <c r="E567" s="36" t="s">
        <v>101</v>
      </c>
      <c r="F567" s="37" t="s">
        <v>402</v>
      </c>
      <c r="G567" s="38" t="s">
        <v>403</v>
      </c>
      <c r="H567" s="38">
        <v>5</v>
      </c>
      <c r="I567" s="38" t="s">
        <v>650</v>
      </c>
      <c r="J567" s="38" t="s">
        <v>703</v>
      </c>
      <c r="K567" s="42" t="s">
        <v>589</v>
      </c>
      <c r="L567" s="38" t="s">
        <v>397</v>
      </c>
      <c r="M567" s="39">
        <v>46049</v>
      </c>
      <c r="N567" s="38" t="s">
        <v>842</v>
      </c>
      <c r="O567" s="38" t="s">
        <v>390</v>
      </c>
      <c r="P567" s="38" t="s">
        <v>842</v>
      </c>
      <c r="Q567" s="38" t="s">
        <v>1559</v>
      </c>
      <c r="R567" s="38"/>
      <c r="S567" s="38" t="s">
        <v>589</v>
      </c>
    </row>
    <row r="568" spans="1:19" ht="21" hidden="1" customHeight="1" x14ac:dyDescent="0.2">
      <c r="A568" s="47">
        <v>1115736180</v>
      </c>
      <c r="B568" s="48" t="s">
        <v>1362</v>
      </c>
      <c r="C568" s="36" t="s">
        <v>817</v>
      </c>
      <c r="D568" s="47">
        <v>1115736180</v>
      </c>
      <c r="E568" s="36" t="s">
        <v>261</v>
      </c>
      <c r="F568" s="37" t="s">
        <v>818</v>
      </c>
      <c r="G568" s="36">
        <v>3214590315</v>
      </c>
      <c r="H568" s="52">
        <v>3</v>
      </c>
      <c r="I568" s="38" t="s">
        <v>643</v>
      </c>
      <c r="J568" s="38" t="s">
        <v>711</v>
      </c>
      <c r="K568" s="52" t="s">
        <v>1361</v>
      </c>
      <c r="L568" s="52"/>
      <c r="M568" s="39">
        <v>46062</v>
      </c>
      <c r="N568" s="38" t="s">
        <v>842</v>
      </c>
      <c r="O568" s="38" t="s">
        <v>380</v>
      </c>
      <c r="P568" s="38" t="s">
        <v>842</v>
      </c>
      <c r="Q568" s="38" t="s">
        <v>1559</v>
      </c>
      <c r="R568" s="38" t="s">
        <v>1582</v>
      </c>
      <c r="S568" s="38" t="s">
        <v>834</v>
      </c>
    </row>
    <row r="569" spans="1:19" ht="31.2" hidden="1" customHeight="1" x14ac:dyDescent="0.2">
      <c r="A569" s="47">
        <v>1116496139</v>
      </c>
      <c r="B569" s="48">
        <v>46050</v>
      </c>
      <c r="C569" s="36" t="s">
        <v>819</v>
      </c>
      <c r="D569" s="47">
        <v>1116496139</v>
      </c>
      <c r="E569" s="36" t="s">
        <v>261</v>
      </c>
      <c r="F569" s="37" t="s">
        <v>820</v>
      </c>
      <c r="G569" s="36">
        <v>3027503577</v>
      </c>
      <c r="H569" s="52">
        <v>3</v>
      </c>
      <c r="I569" s="38" t="s">
        <v>643</v>
      </c>
      <c r="J569" s="38" t="s">
        <v>681</v>
      </c>
      <c r="K569" s="52" t="s">
        <v>834</v>
      </c>
      <c r="L569" s="52"/>
      <c r="M569" s="39">
        <v>46062</v>
      </c>
      <c r="N569" s="38" t="s">
        <v>842</v>
      </c>
      <c r="O569" s="38" t="s">
        <v>380</v>
      </c>
      <c r="P569" s="38" t="s">
        <v>842</v>
      </c>
      <c r="Q569" s="38" t="s">
        <v>1559</v>
      </c>
      <c r="R569" s="38"/>
      <c r="S569" s="38" t="s">
        <v>834</v>
      </c>
    </row>
    <row r="570" spans="1:19" ht="31.2" hidden="1" customHeight="1" x14ac:dyDescent="0.3">
      <c r="A570" s="47">
        <v>1116500023</v>
      </c>
      <c r="B570" s="49">
        <v>46020</v>
      </c>
      <c r="C570" s="36" t="s">
        <v>159</v>
      </c>
      <c r="D570" s="47">
        <v>1116500023</v>
      </c>
      <c r="E570" s="36" t="s">
        <v>384</v>
      </c>
      <c r="F570" s="37" t="s">
        <v>160</v>
      </c>
      <c r="G570" s="36" t="s">
        <v>161</v>
      </c>
      <c r="H570" s="36">
        <v>3</v>
      </c>
      <c r="I570" s="38" t="s">
        <v>643</v>
      </c>
      <c r="J570" s="38" t="s">
        <v>711</v>
      </c>
      <c r="K570" s="36" t="s">
        <v>245</v>
      </c>
      <c r="L570" s="36"/>
      <c r="M570" s="39">
        <v>46035</v>
      </c>
      <c r="N570" s="38" t="s">
        <v>842</v>
      </c>
      <c r="O570" s="38" t="s">
        <v>380</v>
      </c>
      <c r="P570" s="38" t="s">
        <v>842</v>
      </c>
      <c r="Q570" s="38" t="s">
        <v>1559</v>
      </c>
      <c r="R570" s="38"/>
      <c r="S570" s="38" t="s">
        <v>245</v>
      </c>
    </row>
    <row r="571" spans="1:19" ht="31.2" customHeight="1" x14ac:dyDescent="0.2">
      <c r="A571" s="47">
        <v>1116791493</v>
      </c>
      <c r="B571" s="39">
        <v>46050</v>
      </c>
      <c r="C571" s="36" t="s">
        <v>844</v>
      </c>
      <c r="D571" s="47">
        <v>1116791493</v>
      </c>
      <c r="E571" s="38" t="s">
        <v>101</v>
      </c>
      <c r="F571" s="37" t="s">
        <v>855</v>
      </c>
      <c r="G571" s="44">
        <v>3208154057</v>
      </c>
      <c r="H571" s="38">
        <v>3</v>
      </c>
      <c r="I571" s="38" t="s">
        <v>643</v>
      </c>
      <c r="J571" s="38" t="e">
        <v>#REF!</v>
      </c>
      <c r="K571" s="38" t="s">
        <v>854</v>
      </c>
      <c r="L571" s="38"/>
      <c r="M571" s="39">
        <v>46062</v>
      </c>
      <c r="N571" s="38" t="s">
        <v>842</v>
      </c>
      <c r="O571" s="38" t="s">
        <v>390</v>
      </c>
      <c r="P571" s="38" t="s">
        <v>842</v>
      </c>
      <c r="Q571" s="38" t="s">
        <v>1559</v>
      </c>
      <c r="R571" s="38"/>
      <c r="S571" s="38"/>
    </row>
    <row r="572" spans="1:19" ht="19.2" x14ac:dyDescent="0.3">
      <c r="A572" s="47">
        <v>1116794146</v>
      </c>
      <c r="B572" s="48">
        <v>46017</v>
      </c>
      <c r="C572" s="36" t="s">
        <v>185</v>
      </c>
      <c r="D572" s="47">
        <v>1116794146</v>
      </c>
      <c r="E572" s="36" t="s">
        <v>101</v>
      </c>
      <c r="F572" s="37" t="s">
        <v>186</v>
      </c>
      <c r="G572" s="36">
        <v>3202032195</v>
      </c>
      <c r="H572" s="36">
        <v>3</v>
      </c>
      <c r="I572" s="38" t="s">
        <v>643</v>
      </c>
      <c r="J572" s="38" t="s">
        <v>643</v>
      </c>
      <c r="K572" s="36" t="s">
        <v>242</v>
      </c>
      <c r="L572" s="36"/>
      <c r="M572" s="39">
        <v>46035</v>
      </c>
      <c r="N572" s="38" t="s">
        <v>842</v>
      </c>
      <c r="O572" s="38" t="s">
        <v>390</v>
      </c>
      <c r="P572" s="38" t="s">
        <v>842</v>
      </c>
      <c r="Q572" s="38" t="s">
        <v>1559</v>
      </c>
      <c r="R572" s="38"/>
      <c r="S572" s="38" t="s">
        <v>242</v>
      </c>
    </row>
    <row r="573" spans="1:19" ht="19.2" x14ac:dyDescent="0.3">
      <c r="A573" s="47">
        <v>1116863221</v>
      </c>
      <c r="B573" s="39">
        <v>46084</v>
      </c>
      <c r="C573" s="38" t="s">
        <v>1383</v>
      </c>
      <c r="D573" s="47">
        <v>1116863221</v>
      </c>
      <c r="E573" s="38" t="s">
        <v>101</v>
      </c>
      <c r="F573" s="37" t="s">
        <v>1399</v>
      </c>
      <c r="G573" s="38">
        <v>3209543976</v>
      </c>
      <c r="H573" s="38">
        <v>2</v>
      </c>
      <c r="I573" s="38" t="s">
        <v>643</v>
      </c>
      <c r="J573" s="38" t="e">
        <v>#REF!</v>
      </c>
      <c r="K573" s="38" t="s">
        <v>1404</v>
      </c>
      <c r="L573" s="38"/>
      <c r="M573" s="39"/>
      <c r="N573" s="38" t="s">
        <v>842</v>
      </c>
      <c r="O573" s="38" t="s">
        <v>390</v>
      </c>
      <c r="P573" s="38" t="s">
        <v>843</v>
      </c>
      <c r="Q573" s="38"/>
      <c r="R573" s="38"/>
      <c r="S573" s="38"/>
    </row>
    <row r="574" spans="1:19" ht="19.2" x14ac:dyDescent="0.3">
      <c r="A574" s="47">
        <v>1117494083</v>
      </c>
      <c r="B574" s="39">
        <v>46097</v>
      </c>
      <c r="C574" s="38" t="s">
        <v>1441</v>
      </c>
      <c r="D574" s="47">
        <v>1117494083</v>
      </c>
      <c r="E574" s="36" t="s">
        <v>101</v>
      </c>
      <c r="F574" s="37" t="s">
        <v>1477</v>
      </c>
      <c r="G574" s="38">
        <v>3132304451</v>
      </c>
      <c r="H574" s="38">
        <v>4</v>
      </c>
      <c r="I574" s="38" t="s">
        <v>970</v>
      </c>
      <c r="J574" s="38" t="e">
        <v>#REF!</v>
      </c>
      <c r="K574" s="38" t="s">
        <v>1418</v>
      </c>
      <c r="L574" s="38"/>
      <c r="M574" s="39"/>
      <c r="N574" s="38" t="s">
        <v>842</v>
      </c>
      <c r="O574" s="38" t="s">
        <v>390</v>
      </c>
      <c r="P574" s="38" t="s">
        <v>842</v>
      </c>
      <c r="Q574" s="38"/>
      <c r="R574" s="38"/>
      <c r="S574" s="38"/>
    </row>
    <row r="575" spans="1:19" ht="19.2" hidden="1" x14ac:dyDescent="0.3">
      <c r="A575" s="47">
        <v>1117504566</v>
      </c>
      <c r="B575" s="49">
        <v>46020</v>
      </c>
      <c r="C575" s="36" t="s">
        <v>141</v>
      </c>
      <c r="D575" s="47">
        <v>1117504566</v>
      </c>
      <c r="E575" s="36" t="s">
        <v>261</v>
      </c>
      <c r="F575" s="37" t="s">
        <v>142</v>
      </c>
      <c r="G575" s="36">
        <v>3115626406</v>
      </c>
      <c r="H575" s="36">
        <v>4</v>
      </c>
      <c r="I575" s="38" t="s">
        <v>970</v>
      </c>
      <c r="J575" s="38" t="s">
        <v>700</v>
      </c>
      <c r="K575" s="36" t="s">
        <v>246</v>
      </c>
      <c r="L575" s="36"/>
      <c r="M575" s="39">
        <v>46035</v>
      </c>
      <c r="N575" s="38" t="s">
        <v>842</v>
      </c>
      <c r="O575" s="38" t="s">
        <v>380</v>
      </c>
      <c r="P575" s="38" t="s">
        <v>843</v>
      </c>
      <c r="Q575" s="38" t="s">
        <v>1560</v>
      </c>
      <c r="R575" s="38"/>
      <c r="S575" s="38" t="s">
        <v>246</v>
      </c>
    </row>
    <row r="576" spans="1:19" ht="19.2" x14ac:dyDescent="0.3">
      <c r="A576" s="47">
        <v>1117535039</v>
      </c>
      <c r="B576" s="39">
        <v>46056</v>
      </c>
      <c r="C576" s="36" t="s">
        <v>876</v>
      </c>
      <c r="D576" s="47">
        <v>1117535039</v>
      </c>
      <c r="E576" s="38" t="s">
        <v>101</v>
      </c>
      <c r="F576" s="37" t="s">
        <v>895</v>
      </c>
      <c r="G576" s="38">
        <v>3177073389</v>
      </c>
      <c r="H576" s="38">
        <v>4</v>
      </c>
      <c r="I576" s="38" t="s">
        <v>970</v>
      </c>
      <c r="J576" s="38" t="e">
        <v>#REF!</v>
      </c>
      <c r="K576" s="38" t="s">
        <v>870</v>
      </c>
      <c r="L576" s="38"/>
      <c r="M576" s="39">
        <v>46063</v>
      </c>
      <c r="N576" s="38" t="s">
        <v>842</v>
      </c>
      <c r="O576" s="38" t="s">
        <v>390</v>
      </c>
      <c r="P576" s="38" t="s">
        <v>843</v>
      </c>
      <c r="Q576" s="38" t="s">
        <v>1561</v>
      </c>
      <c r="R576" s="38"/>
      <c r="S576" s="38"/>
    </row>
    <row r="577" spans="1:19" ht="28.8" customHeight="1" x14ac:dyDescent="0.2">
      <c r="A577" s="47">
        <v>1118568553</v>
      </c>
      <c r="B577" s="48">
        <v>46050</v>
      </c>
      <c r="C577" s="36" t="s">
        <v>821</v>
      </c>
      <c r="D577" s="47">
        <v>1118568553</v>
      </c>
      <c r="E577" s="36" t="s">
        <v>101</v>
      </c>
      <c r="F577" s="37" t="s">
        <v>822</v>
      </c>
      <c r="G577" s="36">
        <v>3214227536</v>
      </c>
      <c r="H577" s="52">
        <v>4</v>
      </c>
      <c r="I577" s="38" t="s">
        <v>631</v>
      </c>
      <c r="J577" s="38" t="s">
        <v>631</v>
      </c>
      <c r="K577" s="52" t="s">
        <v>834</v>
      </c>
      <c r="L577" s="52"/>
      <c r="M577" s="39">
        <v>46062</v>
      </c>
      <c r="N577" s="38" t="s">
        <v>842</v>
      </c>
      <c r="O577" s="38" t="s">
        <v>390</v>
      </c>
      <c r="P577" s="38" t="s">
        <v>842</v>
      </c>
      <c r="Q577" s="38" t="s">
        <v>1560</v>
      </c>
      <c r="R577" s="38" t="s">
        <v>1579</v>
      </c>
      <c r="S577" s="38" t="s">
        <v>834</v>
      </c>
    </row>
    <row r="578" spans="1:19" ht="19.2" x14ac:dyDescent="0.3">
      <c r="A578" s="47">
        <v>1118776123</v>
      </c>
      <c r="B578" s="39">
        <v>46133</v>
      </c>
      <c r="C578" s="36" t="s">
        <v>1635</v>
      </c>
      <c r="D578" s="47">
        <v>1118776123</v>
      </c>
      <c r="E578" s="38" t="s">
        <v>101</v>
      </c>
      <c r="F578" s="37" t="s">
        <v>1642</v>
      </c>
      <c r="G578" s="38">
        <v>3208666885</v>
      </c>
      <c r="H578" s="38">
        <v>3</v>
      </c>
      <c r="I578" s="38" t="s">
        <v>679</v>
      </c>
      <c r="J578" s="38" t="s">
        <v>1645</v>
      </c>
      <c r="K578" s="38"/>
      <c r="L578" s="38" t="s">
        <v>1636</v>
      </c>
      <c r="M578" s="39"/>
      <c r="N578" s="38" t="s">
        <v>843</v>
      </c>
      <c r="O578" s="38" t="s">
        <v>390</v>
      </c>
      <c r="P578" s="38" t="s">
        <v>843</v>
      </c>
      <c r="Q578" s="38"/>
      <c r="R578" s="38"/>
      <c r="S578" s="38"/>
    </row>
    <row r="579" spans="1:19" ht="43.2" customHeight="1" x14ac:dyDescent="0.2">
      <c r="A579" s="47">
        <v>1118870724</v>
      </c>
      <c r="B579" s="48">
        <v>46050</v>
      </c>
      <c r="C579" s="36" t="s">
        <v>823</v>
      </c>
      <c r="D579" s="47">
        <v>1118870724</v>
      </c>
      <c r="E579" s="36" t="s">
        <v>349</v>
      </c>
      <c r="F579" s="37" t="s">
        <v>824</v>
      </c>
      <c r="G579" s="36">
        <v>3006346691</v>
      </c>
      <c r="H579" s="52">
        <v>1</v>
      </c>
      <c r="I579" s="38" t="s">
        <v>1604</v>
      </c>
      <c r="J579" s="38" t="e">
        <v>#REF!</v>
      </c>
      <c r="K579" s="52"/>
      <c r="L579" s="52" t="s">
        <v>836</v>
      </c>
      <c r="M579" s="39">
        <v>46062</v>
      </c>
      <c r="N579" s="38" t="s">
        <v>843</v>
      </c>
      <c r="O579" s="38" t="s">
        <v>390</v>
      </c>
      <c r="P579" s="38" t="s">
        <v>843</v>
      </c>
      <c r="Q579" s="38" t="s">
        <v>1558</v>
      </c>
      <c r="R579" s="38"/>
      <c r="S579" s="38"/>
    </row>
    <row r="580" spans="1:19" ht="19.2" x14ac:dyDescent="0.3">
      <c r="A580" s="47">
        <v>1120363625</v>
      </c>
      <c r="B580" s="39">
        <v>46062</v>
      </c>
      <c r="C580" s="36" t="s">
        <v>1089</v>
      </c>
      <c r="D580" s="47">
        <v>1120363625</v>
      </c>
      <c r="E580" s="38" t="s">
        <v>101</v>
      </c>
      <c r="F580" s="37" t="s">
        <v>1090</v>
      </c>
      <c r="G580" s="38" t="s">
        <v>1091</v>
      </c>
      <c r="H580" s="38">
        <v>4</v>
      </c>
      <c r="I580" s="38" t="s">
        <v>704</v>
      </c>
      <c r="J580" s="38" t="s">
        <v>1124</v>
      </c>
      <c r="K580" s="38" t="s">
        <v>1064</v>
      </c>
      <c r="L580" s="38"/>
      <c r="M580" s="39">
        <v>46072</v>
      </c>
      <c r="N580" s="38" t="s">
        <v>842</v>
      </c>
      <c r="O580" s="38" t="s">
        <v>390</v>
      </c>
      <c r="P580" s="38" t="s">
        <v>843</v>
      </c>
      <c r="Q580" s="38" t="s">
        <v>1561</v>
      </c>
      <c r="R580" s="38"/>
      <c r="S580" s="38"/>
    </row>
    <row r="581" spans="1:19" ht="19.2" x14ac:dyDescent="0.3">
      <c r="A581" s="47">
        <v>1120373131</v>
      </c>
      <c r="B581" s="39">
        <v>46062</v>
      </c>
      <c r="C581" s="36" t="s">
        <v>1037</v>
      </c>
      <c r="D581" s="47">
        <v>1120373131</v>
      </c>
      <c r="E581" s="38" t="s">
        <v>101</v>
      </c>
      <c r="F581" s="37" t="s">
        <v>1038</v>
      </c>
      <c r="G581" s="38" t="s">
        <v>1039</v>
      </c>
      <c r="H581" s="38">
        <v>4</v>
      </c>
      <c r="I581" s="38" t="s">
        <v>707</v>
      </c>
      <c r="J581" s="38" t="s">
        <v>916</v>
      </c>
      <c r="K581" s="38" t="s">
        <v>1017</v>
      </c>
      <c r="L581" s="38"/>
      <c r="M581" s="39">
        <v>46072</v>
      </c>
      <c r="N581" s="38" t="s">
        <v>842</v>
      </c>
      <c r="O581" s="38" t="s">
        <v>390</v>
      </c>
      <c r="P581" s="38" t="s">
        <v>843</v>
      </c>
      <c r="Q581" s="38" t="s">
        <v>1561</v>
      </c>
      <c r="R581" s="38"/>
      <c r="S581" s="38"/>
    </row>
    <row r="582" spans="1:19" ht="19.2" x14ac:dyDescent="0.3">
      <c r="A582" s="47">
        <v>1120560715</v>
      </c>
      <c r="B582" s="39">
        <v>46097</v>
      </c>
      <c r="C582" s="38" t="s">
        <v>1439</v>
      </c>
      <c r="D582" s="47">
        <v>1120560715</v>
      </c>
      <c r="E582" s="36" t="s">
        <v>101</v>
      </c>
      <c r="F582" s="37" t="s">
        <v>1474</v>
      </c>
      <c r="G582" s="38">
        <v>3213275620</v>
      </c>
      <c r="H582" s="38">
        <v>4</v>
      </c>
      <c r="I582" s="38" t="s">
        <v>631</v>
      </c>
      <c r="J582" s="38" t="s">
        <v>631</v>
      </c>
      <c r="K582" s="38" t="s">
        <v>1418</v>
      </c>
      <c r="L582" s="38"/>
      <c r="M582" s="39"/>
      <c r="N582" s="38" t="s">
        <v>842</v>
      </c>
      <c r="O582" s="38" t="s">
        <v>390</v>
      </c>
      <c r="P582" s="38" t="s">
        <v>843</v>
      </c>
      <c r="Q582" s="38"/>
      <c r="R582" s="38"/>
      <c r="S582" s="38"/>
    </row>
    <row r="583" spans="1:19" ht="19.2" x14ac:dyDescent="0.3">
      <c r="A583" s="47">
        <v>1120575207</v>
      </c>
      <c r="B583" s="39">
        <v>46038</v>
      </c>
      <c r="C583" s="36" t="s">
        <v>558</v>
      </c>
      <c r="D583" s="47">
        <v>1120575207</v>
      </c>
      <c r="E583" s="36" t="s">
        <v>101</v>
      </c>
      <c r="F583" s="37" t="s">
        <v>500</v>
      </c>
      <c r="G583" s="38" t="s">
        <v>501</v>
      </c>
      <c r="H583" s="38">
        <v>4</v>
      </c>
      <c r="I583" s="38" t="s">
        <v>704</v>
      </c>
      <c r="J583" s="38" t="s">
        <v>705</v>
      </c>
      <c r="K583" s="38" t="s">
        <v>469</v>
      </c>
      <c r="L583" s="38"/>
      <c r="M583" s="39">
        <v>46049</v>
      </c>
      <c r="N583" s="38" t="s">
        <v>842</v>
      </c>
      <c r="O583" s="38" t="s">
        <v>390</v>
      </c>
      <c r="P583" s="38" t="s">
        <v>842</v>
      </c>
      <c r="Q583" s="38" t="s">
        <v>1560</v>
      </c>
      <c r="R583" s="38" t="s">
        <v>1572</v>
      </c>
      <c r="S583" s="38" t="s">
        <v>469</v>
      </c>
    </row>
    <row r="584" spans="1:19" ht="19.2" x14ac:dyDescent="0.3">
      <c r="A584" s="47">
        <v>1121710941</v>
      </c>
      <c r="B584" s="39">
        <v>46106</v>
      </c>
      <c r="C584" s="36" t="s">
        <v>1493</v>
      </c>
      <c r="D584" s="47">
        <v>1121710941</v>
      </c>
      <c r="E584" s="38" t="s">
        <v>101</v>
      </c>
      <c r="F584" s="37" t="s">
        <v>1505</v>
      </c>
      <c r="G584" s="38">
        <v>3137682961</v>
      </c>
      <c r="H584" s="38">
        <v>4</v>
      </c>
      <c r="I584" s="38" t="s">
        <v>1517</v>
      </c>
      <c r="J584" s="38" t="s">
        <v>1518</v>
      </c>
      <c r="K584" s="38" t="s">
        <v>1523</v>
      </c>
      <c r="L584" s="38"/>
      <c r="M584" s="39"/>
      <c r="N584" s="38" t="s">
        <v>842</v>
      </c>
      <c r="O584" s="38" t="s">
        <v>390</v>
      </c>
      <c r="P584" s="38" t="s">
        <v>843</v>
      </c>
      <c r="Q584" s="38"/>
      <c r="R584" s="38"/>
      <c r="S584" s="38"/>
    </row>
    <row r="585" spans="1:19" ht="43.2" customHeight="1" x14ac:dyDescent="0.3">
      <c r="A585" s="55">
        <v>1121820414</v>
      </c>
      <c r="B585" s="51">
        <v>46149</v>
      </c>
      <c r="C585" s="45" t="s">
        <v>1698</v>
      </c>
      <c r="D585" s="55">
        <v>1121820414</v>
      </c>
      <c r="E585" s="45" t="s">
        <v>1700</v>
      </c>
      <c r="F585" s="37" t="s">
        <v>1703</v>
      </c>
      <c r="G585" s="38"/>
      <c r="H585" s="45">
        <v>3</v>
      </c>
      <c r="I585" s="38"/>
      <c r="J585" s="38"/>
      <c r="K585" s="38" t="s">
        <v>1694</v>
      </c>
      <c r="L585" s="38"/>
      <c r="M585" s="39">
        <v>46153</v>
      </c>
      <c r="N585" s="38" t="s">
        <v>1705</v>
      </c>
      <c r="O585" s="38"/>
      <c r="P585" s="38" t="s">
        <v>843</v>
      </c>
      <c r="Q585" s="38"/>
      <c r="R585" s="38"/>
      <c r="S585" s="38"/>
    </row>
    <row r="586" spans="1:19" ht="19.2" x14ac:dyDescent="0.3">
      <c r="A586" s="47">
        <v>1121857939</v>
      </c>
      <c r="B586" s="39">
        <v>46062</v>
      </c>
      <c r="C586" s="36" t="s">
        <v>1043</v>
      </c>
      <c r="D586" s="47">
        <v>1121857939</v>
      </c>
      <c r="E586" s="38" t="s">
        <v>101</v>
      </c>
      <c r="F586" s="37" t="s">
        <v>1044</v>
      </c>
      <c r="G586" s="38">
        <v>3153351330</v>
      </c>
      <c r="H586" s="38">
        <v>4</v>
      </c>
      <c r="I586" s="38" t="s">
        <v>707</v>
      </c>
      <c r="J586" s="38" t="s">
        <v>916</v>
      </c>
      <c r="K586" s="38" t="s">
        <v>1017</v>
      </c>
      <c r="L586" s="38"/>
      <c r="M586" s="39">
        <v>46072</v>
      </c>
      <c r="N586" s="38" t="s">
        <v>842</v>
      </c>
      <c r="O586" s="38" t="s">
        <v>390</v>
      </c>
      <c r="P586" s="38" t="s">
        <v>842</v>
      </c>
      <c r="Q586" s="38" t="s">
        <v>1559</v>
      </c>
      <c r="R586" s="38" t="s">
        <v>1585</v>
      </c>
      <c r="S586" s="38"/>
    </row>
    <row r="587" spans="1:19" ht="19.2" x14ac:dyDescent="0.3">
      <c r="A587" s="47">
        <v>1121869938</v>
      </c>
      <c r="B587" s="39">
        <v>46045</v>
      </c>
      <c r="C587" s="36" t="s">
        <v>611</v>
      </c>
      <c r="D587" s="47">
        <v>1121869938</v>
      </c>
      <c r="E587" s="36" t="s">
        <v>101</v>
      </c>
      <c r="F587" s="37" t="s">
        <v>612</v>
      </c>
      <c r="G587" s="38">
        <v>3004738959</v>
      </c>
      <c r="H587" s="38">
        <v>3</v>
      </c>
      <c r="I587" s="38" t="s">
        <v>653</v>
      </c>
      <c r="J587" s="38" t="s">
        <v>706</v>
      </c>
      <c r="K587" s="38" t="s">
        <v>589</v>
      </c>
      <c r="L587" s="38"/>
      <c r="M587" s="39">
        <v>46049</v>
      </c>
      <c r="N587" s="38" t="s">
        <v>842</v>
      </c>
      <c r="O587" s="38" t="s">
        <v>390</v>
      </c>
      <c r="P587" s="38" t="s">
        <v>843</v>
      </c>
      <c r="Q587" s="38" t="s">
        <v>1560</v>
      </c>
      <c r="R587" s="38"/>
      <c r="S587" s="38" t="s">
        <v>589</v>
      </c>
    </row>
    <row r="588" spans="1:19" ht="19.2" x14ac:dyDescent="0.3">
      <c r="A588" s="47">
        <v>1121879132</v>
      </c>
      <c r="B588" s="39">
        <v>46066</v>
      </c>
      <c r="C588" s="36" t="s">
        <v>1177</v>
      </c>
      <c r="D588" s="47">
        <v>1121879132</v>
      </c>
      <c r="E588" s="38" t="s">
        <v>349</v>
      </c>
      <c r="F588" s="37" t="s">
        <v>1178</v>
      </c>
      <c r="G588" s="38">
        <v>3105003049</v>
      </c>
      <c r="H588" s="38">
        <v>4</v>
      </c>
      <c r="I588" s="38" t="s">
        <v>707</v>
      </c>
      <c r="J588" s="38" t="s">
        <v>916</v>
      </c>
      <c r="K588" s="38" t="s">
        <v>1152</v>
      </c>
      <c r="L588" s="38"/>
      <c r="M588" s="39">
        <v>46076</v>
      </c>
      <c r="N588" s="38" t="s">
        <v>842</v>
      </c>
      <c r="O588" s="38" t="s">
        <v>390</v>
      </c>
      <c r="P588" s="38" t="s">
        <v>1555</v>
      </c>
      <c r="Q588" s="38" t="s">
        <v>1561</v>
      </c>
      <c r="R588" s="38"/>
      <c r="S588" s="38"/>
    </row>
    <row r="589" spans="1:19" ht="28.8" x14ac:dyDescent="0.3">
      <c r="A589" s="47">
        <v>1121883180</v>
      </c>
      <c r="B589" s="39">
        <v>46032</v>
      </c>
      <c r="C589" s="36" t="s">
        <v>560</v>
      </c>
      <c r="D589" s="47">
        <v>1121883180</v>
      </c>
      <c r="E589" s="36" t="s">
        <v>101</v>
      </c>
      <c r="F589" s="37" t="s">
        <v>462</v>
      </c>
      <c r="G589" s="38" t="s">
        <v>463</v>
      </c>
      <c r="H589" s="38">
        <v>4</v>
      </c>
      <c r="I589" s="38" t="s">
        <v>707</v>
      </c>
      <c r="J589" s="38" t="s">
        <v>708</v>
      </c>
      <c r="K589" s="38" t="s">
        <v>448</v>
      </c>
      <c r="L589" s="39"/>
      <c r="M589" s="39">
        <v>46049</v>
      </c>
      <c r="N589" s="38" t="s">
        <v>842</v>
      </c>
      <c r="O589" s="38" t="s">
        <v>390</v>
      </c>
      <c r="P589" s="38" t="s">
        <v>842</v>
      </c>
      <c r="Q589" s="38" t="s">
        <v>1559</v>
      </c>
      <c r="R589" s="38" t="s">
        <v>1578</v>
      </c>
      <c r="S589" s="38" t="s">
        <v>448</v>
      </c>
    </row>
    <row r="590" spans="1:19" ht="19.2" customHeight="1" x14ac:dyDescent="0.3">
      <c r="A590" s="47">
        <v>1121894968</v>
      </c>
      <c r="B590" s="39">
        <v>46062</v>
      </c>
      <c r="C590" s="36" t="s">
        <v>1068</v>
      </c>
      <c r="D590" s="47">
        <v>1121894968</v>
      </c>
      <c r="E590" s="38" t="s">
        <v>101</v>
      </c>
      <c r="F590" s="37" t="s">
        <v>1069</v>
      </c>
      <c r="G590" s="38">
        <v>3208143473</v>
      </c>
      <c r="H590" s="38">
        <v>4</v>
      </c>
      <c r="I590" s="38" t="s">
        <v>707</v>
      </c>
      <c r="J590" s="38" t="s">
        <v>708</v>
      </c>
      <c r="K590" s="38" t="s">
        <v>1064</v>
      </c>
      <c r="L590" s="38"/>
      <c r="M590" s="39">
        <v>46072</v>
      </c>
      <c r="N590" s="38" t="s">
        <v>842</v>
      </c>
      <c r="O590" s="38" t="s">
        <v>390</v>
      </c>
      <c r="P590" s="38" t="s">
        <v>842</v>
      </c>
      <c r="Q590" s="38" t="s">
        <v>1559</v>
      </c>
      <c r="R590" s="38" t="s">
        <v>1585</v>
      </c>
      <c r="S590" s="38"/>
    </row>
    <row r="591" spans="1:19" ht="19.2" customHeight="1" x14ac:dyDescent="0.3">
      <c r="A591" s="47">
        <v>1121897022</v>
      </c>
      <c r="B591" s="39">
        <v>46073</v>
      </c>
      <c r="C591" s="36" t="s">
        <v>1327</v>
      </c>
      <c r="D591" s="47">
        <v>1121897022</v>
      </c>
      <c r="E591" s="38" t="s">
        <v>101</v>
      </c>
      <c r="F591" s="37" t="s">
        <v>1338</v>
      </c>
      <c r="G591" s="38">
        <v>3163501219</v>
      </c>
      <c r="H591" s="38">
        <v>4</v>
      </c>
      <c r="I591" s="38" t="s">
        <v>704</v>
      </c>
      <c r="J591" s="38" t="s">
        <v>1347</v>
      </c>
      <c r="K591" s="38" t="s">
        <v>1335</v>
      </c>
      <c r="L591" s="38"/>
      <c r="M591" s="39"/>
      <c r="N591" s="38" t="s">
        <v>842</v>
      </c>
      <c r="O591" s="38" t="s">
        <v>390</v>
      </c>
      <c r="P591" s="38" t="s">
        <v>843</v>
      </c>
      <c r="Q591" s="38"/>
      <c r="R591" s="38"/>
      <c r="S591" s="38"/>
    </row>
    <row r="592" spans="1:19" ht="19.2" x14ac:dyDescent="0.2">
      <c r="A592" s="47">
        <v>1121922931</v>
      </c>
      <c r="B592" s="48">
        <v>46050</v>
      </c>
      <c r="C592" s="36" t="s">
        <v>825</v>
      </c>
      <c r="D592" s="47">
        <v>1121922931</v>
      </c>
      <c r="E592" s="36" t="s">
        <v>101</v>
      </c>
      <c r="F592" s="37" t="s">
        <v>826</v>
      </c>
      <c r="G592" s="36">
        <v>3209815876</v>
      </c>
      <c r="H592" s="52">
        <v>4</v>
      </c>
      <c r="I592" s="38" t="s">
        <v>631</v>
      </c>
      <c r="J592" s="38" t="s">
        <v>631</v>
      </c>
      <c r="K592" s="52" t="s">
        <v>834</v>
      </c>
      <c r="L592" s="52"/>
      <c r="M592" s="39">
        <v>46062</v>
      </c>
      <c r="N592" s="38" t="s">
        <v>842</v>
      </c>
      <c r="O592" s="38" t="s">
        <v>390</v>
      </c>
      <c r="P592" s="38" t="s">
        <v>843</v>
      </c>
      <c r="Q592" s="38" t="s">
        <v>1560</v>
      </c>
      <c r="R592" s="38"/>
      <c r="S592" s="38" t="s">
        <v>834</v>
      </c>
    </row>
    <row r="593" spans="1:19" ht="19.2" customHeight="1" x14ac:dyDescent="0.3">
      <c r="A593" s="47">
        <v>1122731646</v>
      </c>
      <c r="B593" s="39">
        <v>46056</v>
      </c>
      <c r="C593" s="36" t="s">
        <v>992</v>
      </c>
      <c r="D593" s="47">
        <v>1122731646</v>
      </c>
      <c r="E593" s="38" t="s">
        <v>101</v>
      </c>
      <c r="F593" s="37" t="s">
        <v>993</v>
      </c>
      <c r="G593" s="38">
        <v>3104561430</v>
      </c>
      <c r="H593" s="38">
        <v>5</v>
      </c>
      <c r="I593" s="38" t="s">
        <v>668</v>
      </c>
      <c r="J593" s="38" t="s">
        <v>1116</v>
      </c>
      <c r="K593" s="38" t="s">
        <v>994</v>
      </c>
      <c r="L593" s="38"/>
      <c r="M593" s="39"/>
      <c r="N593" s="38" t="s">
        <v>842</v>
      </c>
      <c r="O593" s="38" t="s">
        <v>390</v>
      </c>
      <c r="P593" s="38" t="s">
        <v>842</v>
      </c>
      <c r="Q593" s="38"/>
      <c r="R593" s="38"/>
      <c r="S593" s="38"/>
    </row>
    <row r="594" spans="1:19" ht="28.8" x14ac:dyDescent="0.3">
      <c r="A594" s="47">
        <v>1124028149</v>
      </c>
      <c r="B594" s="39">
        <v>46097</v>
      </c>
      <c r="C594" s="38" t="s">
        <v>1432</v>
      </c>
      <c r="D594" s="47">
        <v>1124028149</v>
      </c>
      <c r="E594" s="38" t="s">
        <v>349</v>
      </c>
      <c r="F594" s="37" t="s">
        <v>1460</v>
      </c>
      <c r="G594" s="38">
        <v>3106681103</v>
      </c>
      <c r="H594" s="38">
        <v>1</v>
      </c>
      <c r="I594" s="38" t="s">
        <v>1603</v>
      </c>
      <c r="J594" s="38" t="e">
        <v>#REF!</v>
      </c>
      <c r="K594" s="38" t="s">
        <v>1418</v>
      </c>
      <c r="L594" s="38"/>
      <c r="M594" s="39"/>
      <c r="N594" s="38" t="s">
        <v>842</v>
      </c>
      <c r="O594" s="38" t="s">
        <v>390</v>
      </c>
      <c r="P594" s="38" t="s">
        <v>843</v>
      </c>
      <c r="Q594" s="38"/>
      <c r="R594" s="38"/>
      <c r="S594" s="38"/>
    </row>
    <row r="595" spans="1:19" ht="19.2" customHeight="1" x14ac:dyDescent="0.3">
      <c r="A595" s="47">
        <v>1124076999</v>
      </c>
      <c r="B595" s="39">
        <v>46062</v>
      </c>
      <c r="C595" s="36" t="s">
        <v>997</v>
      </c>
      <c r="D595" s="47">
        <v>1124076999</v>
      </c>
      <c r="E595" s="38" t="s">
        <v>349</v>
      </c>
      <c r="F595" s="37" t="s">
        <v>998</v>
      </c>
      <c r="G595" s="38">
        <v>3045640656</v>
      </c>
      <c r="H595" s="38">
        <v>1</v>
      </c>
      <c r="I595" s="38" t="s">
        <v>638</v>
      </c>
      <c r="J595" s="38" t="s">
        <v>639</v>
      </c>
      <c r="K595" s="38"/>
      <c r="L595" s="38" t="s">
        <v>996</v>
      </c>
      <c r="M595" s="39">
        <v>46069</v>
      </c>
      <c r="N595" s="38" t="s">
        <v>843</v>
      </c>
      <c r="O595" s="38" t="s">
        <v>390</v>
      </c>
      <c r="P595" s="38" t="s">
        <v>843</v>
      </c>
      <c r="Q595" s="38" t="s">
        <v>1558</v>
      </c>
      <c r="R595" s="38"/>
      <c r="S595" s="38"/>
    </row>
    <row r="596" spans="1:19" ht="19.2" customHeight="1" x14ac:dyDescent="0.3">
      <c r="A596" s="47">
        <v>1124990998</v>
      </c>
      <c r="B596" s="39">
        <v>46062</v>
      </c>
      <c r="C596" s="36" t="s">
        <v>1065</v>
      </c>
      <c r="D596" s="47">
        <v>1124990998</v>
      </c>
      <c r="E596" s="38" t="s">
        <v>101</v>
      </c>
      <c r="F596" s="37" t="s">
        <v>1066</v>
      </c>
      <c r="G596" s="38">
        <v>3106774581</v>
      </c>
      <c r="H596" s="38">
        <v>4</v>
      </c>
      <c r="I596" s="38" t="s">
        <v>972</v>
      </c>
      <c r="J596" s="38" t="s">
        <v>973</v>
      </c>
      <c r="K596" s="38" t="s">
        <v>1064</v>
      </c>
      <c r="L596" s="38"/>
      <c r="M596" s="39">
        <v>46072</v>
      </c>
      <c r="N596" s="38" t="s">
        <v>842</v>
      </c>
      <c r="O596" s="38" t="s">
        <v>390</v>
      </c>
      <c r="P596" s="38" t="s">
        <v>843</v>
      </c>
      <c r="Q596" s="38" t="s">
        <v>1561</v>
      </c>
      <c r="R596" s="38"/>
      <c r="S596" s="38"/>
    </row>
    <row r="597" spans="1:19" ht="19.2" x14ac:dyDescent="0.2">
      <c r="A597" s="47"/>
      <c r="B597" s="39">
        <v>46161</v>
      </c>
      <c r="C597" s="53" t="s">
        <v>1719</v>
      </c>
      <c r="D597" s="53">
        <v>1125471466</v>
      </c>
      <c r="E597" s="53" t="s">
        <v>1700</v>
      </c>
      <c r="F597" s="56" t="s">
        <v>1740</v>
      </c>
      <c r="G597" s="53">
        <v>3185375071</v>
      </c>
      <c r="H597" s="53">
        <v>4</v>
      </c>
      <c r="I597" s="38"/>
      <c r="J597" s="38"/>
      <c r="K597" s="57" t="s">
        <v>1760</v>
      </c>
      <c r="L597" s="38"/>
      <c r="M597" s="39">
        <v>46163</v>
      </c>
      <c r="N597" s="38" t="s">
        <v>1705</v>
      </c>
      <c r="O597" s="38"/>
      <c r="P597" s="38"/>
      <c r="Q597" s="38"/>
      <c r="R597" s="38"/>
      <c r="S597" s="38"/>
    </row>
    <row r="598" spans="1:19" ht="19.2" customHeight="1" x14ac:dyDescent="0.3">
      <c r="A598" s="47">
        <v>1131044558</v>
      </c>
      <c r="B598" s="39">
        <v>46066</v>
      </c>
      <c r="C598" s="36" t="s">
        <v>1168</v>
      </c>
      <c r="D598" s="47">
        <v>1131044558</v>
      </c>
      <c r="E598" s="38" t="s">
        <v>349</v>
      </c>
      <c r="F598" s="37" t="s">
        <v>1169</v>
      </c>
      <c r="G598" s="38">
        <v>3105382580</v>
      </c>
      <c r="H598" s="38">
        <v>5</v>
      </c>
      <c r="I598" s="38" t="s">
        <v>640</v>
      </c>
      <c r="J598" s="38" t="s">
        <v>1191</v>
      </c>
      <c r="K598" s="38" t="s">
        <v>1152</v>
      </c>
      <c r="L598" s="38"/>
      <c r="M598" s="39">
        <v>46076</v>
      </c>
      <c r="N598" s="38" t="s">
        <v>842</v>
      </c>
      <c r="O598" s="38" t="s">
        <v>390</v>
      </c>
      <c r="P598" s="38" t="s">
        <v>1555</v>
      </c>
      <c r="Q598" s="38" t="s">
        <v>1561</v>
      </c>
      <c r="R598" s="38"/>
      <c r="S598" s="38"/>
    </row>
    <row r="599" spans="1:19" ht="19.2" hidden="1" customHeight="1" x14ac:dyDescent="0.3">
      <c r="A599" s="47">
        <v>1136889599</v>
      </c>
      <c r="B599" s="48">
        <v>46025</v>
      </c>
      <c r="C599" s="36" t="s">
        <v>83</v>
      </c>
      <c r="D599" s="47">
        <v>1136889599</v>
      </c>
      <c r="E599" s="36" t="s">
        <v>384</v>
      </c>
      <c r="F599" s="37" t="s">
        <v>84</v>
      </c>
      <c r="G599" s="36">
        <v>3114201413</v>
      </c>
      <c r="H599" s="36">
        <v>1</v>
      </c>
      <c r="I599" s="38" t="s">
        <v>638</v>
      </c>
      <c r="J599" s="38" t="s">
        <v>685</v>
      </c>
      <c r="K599" s="36" t="s">
        <v>248</v>
      </c>
      <c r="L599" s="36"/>
      <c r="M599" s="39">
        <v>46035</v>
      </c>
      <c r="N599" s="38" t="s">
        <v>842</v>
      </c>
      <c r="O599" s="38" t="s">
        <v>380</v>
      </c>
      <c r="P599" s="38" t="s">
        <v>843</v>
      </c>
      <c r="Q599" s="38" t="s">
        <v>1562</v>
      </c>
      <c r="R599" s="38"/>
      <c r="S599" s="38" t="s">
        <v>248</v>
      </c>
    </row>
    <row r="600" spans="1:19" ht="19.2" customHeight="1" x14ac:dyDescent="0.3">
      <c r="A600" s="47">
        <v>1140819694</v>
      </c>
      <c r="B600" s="39">
        <v>46133</v>
      </c>
      <c r="C600" s="36" t="s">
        <v>1648</v>
      </c>
      <c r="D600" s="47">
        <v>1140819694</v>
      </c>
      <c r="E600" s="38" t="s">
        <v>101</v>
      </c>
      <c r="F600" s="37" t="s">
        <v>1659</v>
      </c>
      <c r="G600" s="38">
        <v>3114160045</v>
      </c>
      <c r="H600" s="38">
        <v>1</v>
      </c>
      <c r="I600" s="38" t="s">
        <v>636</v>
      </c>
      <c r="J600" s="38" t="s">
        <v>675</v>
      </c>
      <c r="K600" s="38" t="s">
        <v>1656</v>
      </c>
      <c r="L600" s="38"/>
      <c r="M600" s="39"/>
      <c r="N600" s="38" t="s">
        <v>842</v>
      </c>
      <c r="O600" s="38" t="s">
        <v>390</v>
      </c>
      <c r="P600" s="38" t="s">
        <v>843</v>
      </c>
      <c r="Q600" s="38"/>
      <c r="R600" s="38"/>
      <c r="S600" s="38"/>
    </row>
    <row r="601" spans="1:19" ht="19.2" x14ac:dyDescent="0.3">
      <c r="A601" s="47">
        <v>1140822187</v>
      </c>
      <c r="B601" s="48">
        <v>46017</v>
      </c>
      <c r="C601" s="36" t="s">
        <v>209</v>
      </c>
      <c r="D601" s="47">
        <v>1140822187</v>
      </c>
      <c r="E601" s="36" t="s">
        <v>101</v>
      </c>
      <c r="F601" s="37" t="s">
        <v>210</v>
      </c>
      <c r="G601" s="36">
        <v>3104242373</v>
      </c>
      <c r="H601" s="36">
        <v>1</v>
      </c>
      <c r="I601" s="38" t="s">
        <v>636</v>
      </c>
      <c r="J601" s="38" t="s">
        <v>637</v>
      </c>
      <c r="K601" s="36" t="s">
        <v>242</v>
      </c>
      <c r="L601" s="36"/>
      <c r="M601" s="39">
        <v>46035</v>
      </c>
      <c r="N601" s="38" t="s">
        <v>842</v>
      </c>
      <c r="O601" s="38" t="s">
        <v>390</v>
      </c>
      <c r="P601" s="38" t="s">
        <v>842</v>
      </c>
      <c r="Q601" s="38" t="s">
        <v>1560</v>
      </c>
      <c r="R601" s="38" t="s">
        <v>1563</v>
      </c>
      <c r="S601" s="38" t="s">
        <v>242</v>
      </c>
    </row>
    <row r="602" spans="1:19" ht="19.2" hidden="1" customHeight="1" x14ac:dyDescent="0.3">
      <c r="A602" s="47">
        <v>1143160750</v>
      </c>
      <c r="B602" s="49">
        <v>46020</v>
      </c>
      <c r="C602" s="36" t="s">
        <v>139</v>
      </c>
      <c r="D602" s="47">
        <v>1143160750</v>
      </c>
      <c r="E602" s="36" t="s">
        <v>381</v>
      </c>
      <c r="F602" s="37" t="s">
        <v>140</v>
      </c>
      <c r="G602" s="36">
        <v>3197031376</v>
      </c>
      <c r="H602" s="36">
        <v>1</v>
      </c>
      <c r="I602" s="38" t="s">
        <v>636</v>
      </c>
      <c r="J602" s="38" t="s">
        <v>637</v>
      </c>
      <c r="K602" s="36" t="s">
        <v>246</v>
      </c>
      <c r="L602" s="36"/>
      <c r="M602" s="39">
        <v>46035</v>
      </c>
      <c r="N602" s="38" t="s">
        <v>842</v>
      </c>
      <c r="O602" s="38" t="s">
        <v>380</v>
      </c>
      <c r="P602" s="38" t="s">
        <v>842</v>
      </c>
      <c r="Q602" s="38" t="s">
        <v>1559</v>
      </c>
      <c r="R602" s="38"/>
      <c r="S602" s="38" t="s">
        <v>246</v>
      </c>
    </row>
    <row r="603" spans="1:19" ht="19.2" x14ac:dyDescent="0.3">
      <c r="A603" s="47">
        <v>1143374703</v>
      </c>
      <c r="B603" s="39">
        <v>46041</v>
      </c>
      <c r="C603" s="36" t="s">
        <v>537</v>
      </c>
      <c r="D603" s="47">
        <v>1143374703</v>
      </c>
      <c r="E603" s="36" t="s">
        <v>101</v>
      </c>
      <c r="F603" s="37" t="s">
        <v>538</v>
      </c>
      <c r="G603" s="38" t="s">
        <v>539</v>
      </c>
      <c r="H603" s="38">
        <v>1</v>
      </c>
      <c r="I603" s="38" t="s">
        <v>686</v>
      </c>
      <c r="J603" s="38" t="s">
        <v>709</v>
      </c>
      <c r="K603" s="38" t="s">
        <v>509</v>
      </c>
      <c r="L603" s="39"/>
      <c r="M603" s="39">
        <v>46049</v>
      </c>
      <c r="N603" s="38" t="s">
        <v>842</v>
      </c>
      <c r="O603" s="38" t="s">
        <v>390</v>
      </c>
      <c r="P603" s="38" t="s">
        <v>842</v>
      </c>
      <c r="Q603" s="38" t="s">
        <v>1559</v>
      </c>
      <c r="R603" s="38" t="s">
        <v>1576</v>
      </c>
      <c r="S603" s="38" t="s">
        <v>509</v>
      </c>
    </row>
    <row r="604" spans="1:19" ht="19.2" customHeight="1" x14ac:dyDescent="0.3">
      <c r="A604" s="47">
        <v>1143425547</v>
      </c>
      <c r="B604" s="39">
        <v>46041</v>
      </c>
      <c r="C604" s="36" t="s">
        <v>584</v>
      </c>
      <c r="D604" s="47">
        <v>1143425547</v>
      </c>
      <c r="E604" s="36" t="s">
        <v>349</v>
      </c>
      <c r="F604" s="37" t="s">
        <v>426</v>
      </c>
      <c r="G604" s="38">
        <v>3104179886</v>
      </c>
      <c r="H604" s="38">
        <v>1</v>
      </c>
      <c r="I604" s="38" t="s">
        <v>636</v>
      </c>
      <c r="J604" s="38" t="s">
        <v>637</v>
      </c>
      <c r="K604" s="38" t="s">
        <v>407</v>
      </c>
      <c r="L604" s="38"/>
      <c r="M604" s="39">
        <v>46049</v>
      </c>
      <c r="N604" s="38" t="s">
        <v>842</v>
      </c>
      <c r="O604" s="38" t="s">
        <v>390</v>
      </c>
      <c r="P604" s="38" t="s">
        <v>842</v>
      </c>
      <c r="Q604" s="38" t="s">
        <v>1559</v>
      </c>
      <c r="R604" s="38"/>
      <c r="S604" s="38" t="s">
        <v>407</v>
      </c>
    </row>
    <row r="605" spans="1:19" ht="19.2" customHeight="1" x14ac:dyDescent="0.3">
      <c r="A605" s="47">
        <v>1144066363</v>
      </c>
      <c r="B605" s="39">
        <v>46045</v>
      </c>
      <c r="C605" s="36" t="s">
        <v>626</v>
      </c>
      <c r="D605" s="47">
        <v>1144066363</v>
      </c>
      <c r="E605" s="36" t="s">
        <v>101</v>
      </c>
      <c r="F605" s="37" t="s">
        <v>613</v>
      </c>
      <c r="G605" s="38">
        <v>3196902003</v>
      </c>
      <c r="H605" s="38">
        <v>5</v>
      </c>
      <c r="I605" s="38" t="s">
        <v>650</v>
      </c>
      <c r="J605" s="38" t="s">
        <v>710</v>
      </c>
      <c r="K605" s="38" t="s">
        <v>589</v>
      </c>
      <c r="L605" s="38"/>
      <c r="M605" s="39">
        <v>46049</v>
      </c>
      <c r="N605" s="38" t="s">
        <v>842</v>
      </c>
      <c r="O605" s="38" t="s">
        <v>390</v>
      </c>
      <c r="P605" s="38" t="s">
        <v>842</v>
      </c>
      <c r="Q605" s="38" t="s">
        <v>1559</v>
      </c>
      <c r="R605" s="38"/>
      <c r="S605" s="38" t="s">
        <v>589</v>
      </c>
    </row>
    <row r="606" spans="1:19" ht="19.2" hidden="1" customHeight="1" x14ac:dyDescent="0.3">
      <c r="A606" s="47">
        <v>1144074193</v>
      </c>
      <c r="B606" s="39" t="s">
        <v>1309</v>
      </c>
      <c r="C606" s="36" t="s">
        <v>1147</v>
      </c>
      <c r="D606" s="47">
        <v>1144074193</v>
      </c>
      <c r="E606" s="38" t="s">
        <v>389</v>
      </c>
      <c r="F606" s="37" t="s">
        <v>1148</v>
      </c>
      <c r="G606" s="38" t="s">
        <v>1149</v>
      </c>
      <c r="H606" s="38">
        <v>4</v>
      </c>
      <c r="I606" s="38" t="s">
        <v>631</v>
      </c>
      <c r="J606" s="38" t="s">
        <v>631</v>
      </c>
      <c r="K606" s="38" t="s">
        <v>1524</v>
      </c>
      <c r="L606" s="38" t="s">
        <v>1146</v>
      </c>
      <c r="M606" s="39">
        <v>46076</v>
      </c>
      <c r="N606" s="38" t="s">
        <v>842</v>
      </c>
      <c r="O606" s="38" t="s">
        <v>390</v>
      </c>
      <c r="P606" s="38" t="s">
        <v>842</v>
      </c>
      <c r="Q606" s="38"/>
      <c r="R606" s="38"/>
      <c r="S606" s="38" t="s">
        <v>1524</v>
      </c>
    </row>
    <row r="607" spans="1:19" ht="19.2" x14ac:dyDescent="0.3">
      <c r="A607" s="47">
        <v>1144201353</v>
      </c>
      <c r="B607" s="39">
        <v>46038</v>
      </c>
      <c r="C607" s="36" t="s">
        <v>559</v>
      </c>
      <c r="D607" s="47">
        <v>1144201353</v>
      </c>
      <c r="E607" s="36" t="s">
        <v>101</v>
      </c>
      <c r="F607" s="37" t="s">
        <v>502</v>
      </c>
      <c r="G607" s="38" t="s">
        <v>503</v>
      </c>
      <c r="H607" s="38">
        <v>4</v>
      </c>
      <c r="I607" s="38" t="s">
        <v>970</v>
      </c>
      <c r="J607" s="38" t="s">
        <v>700</v>
      </c>
      <c r="K607" s="38" t="s">
        <v>469</v>
      </c>
      <c r="L607" s="38"/>
      <c r="M607" s="39">
        <v>46049</v>
      </c>
      <c r="N607" s="38" t="s">
        <v>842</v>
      </c>
      <c r="O607" s="38" t="s">
        <v>390</v>
      </c>
      <c r="P607" s="38" t="s">
        <v>842</v>
      </c>
      <c r="Q607" s="38" t="s">
        <v>1559</v>
      </c>
      <c r="R607" s="38"/>
      <c r="S607" s="38" t="s">
        <v>469</v>
      </c>
    </row>
    <row r="608" spans="1:19" ht="19.2" hidden="1" x14ac:dyDescent="0.3">
      <c r="A608" s="47"/>
      <c r="B608" s="39">
        <v>46163</v>
      </c>
      <c r="C608" s="58" t="s">
        <v>1762</v>
      </c>
      <c r="D608" s="58">
        <v>1152437627</v>
      </c>
      <c r="E608" s="58" t="s">
        <v>1714</v>
      </c>
      <c r="F608" s="59" t="s">
        <v>1770</v>
      </c>
      <c r="G608" s="38"/>
      <c r="H608" s="60">
        <v>5</v>
      </c>
      <c r="I608" s="38"/>
      <c r="J608" s="38"/>
      <c r="K608" s="38" t="s">
        <v>1777</v>
      </c>
      <c r="L608" s="38"/>
      <c r="M608" s="39">
        <v>46165</v>
      </c>
      <c r="N608" s="38" t="s">
        <v>1705</v>
      </c>
      <c r="O608" s="38"/>
      <c r="P608" s="38"/>
      <c r="Q608" s="38"/>
      <c r="R608" s="38"/>
      <c r="S608" s="38"/>
    </row>
    <row r="609" spans="1:19" ht="19.2" x14ac:dyDescent="0.3">
      <c r="A609" s="47">
        <v>1152457333</v>
      </c>
      <c r="B609" s="39">
        <v>46041</v>
      </c>
      <c r="C609" s="36" t="s">
        <v>587</v>
      </c>
      <c r="D609" s="47">
        <v>1152457333</v>
      </c>
      <c r="E609" s="36" t="s">
        <v>349</v>
      </c>
      <c r="F609" s="37" t="s">
        <v>404</v>
      </c>
      <c r="G609" s="38">
        <v>3046315093</v>
      </c>
      <c r="H609" s="38">
        <v>5</v>
      </c>
      <c r="I609" s="38" t="s">
        <v>640</v>
      </c>
      <c r="J609" s="38" t="e">
        <v>#REF!</v>
      </c>
      <c r="K609" s="42"/>
      <c r="L609" s="38" t="s">
        <v>397</v>
      </c>
      <c r="M609" s="39">
        <v>46049</v>
      </c>
      <c r="N609" s="38" t="s">
        <v>843</v>
      </c>
      <c r="O609" s="38" t="s">
        <v>390</v>
      </c>
      <c r="P609" s="38" t="s">
        <v>843</v>
      </c>
      <c r="Q609" s="38" t="s">
        <v>1558</v>
      </c>
      <c r="R609" s="38" t="s">
        <v>1577</v>
      </c>
      <c r="S609" s="38"/>
    </row>
    <row r="610" spans="1:19" ht="19.2" customHeight="1" x14ac:dyDescent="0.2">
      <c r="A610" s="47">
        <v>1152460011</v>
      </c>
      <c r="B610" s="48">
        <v>46050</v>
      </c>
      <c r="C610" s="36" t="s">
        <v>827</v>
      </c>
      <c r="D610" s="47">
        <v>1152460011</v>
      </c>
      <c r="E610" s="36" t="s">
        <v>349</v>
      </c>
      <c r="F610" s="37" t="s">
        <v>828</v>
      </c>
      <c r="G610" s="36">
        <v>3148617129</v>
      </c>
      <c r="H610" s="52">
        <v>5</v>
      </c>
      <c r="I610" s="38" t="s">
        <v>657</v>
      </c>
      <c r="J610" s="38" t="e">
        <v>#REF!</v>
      </c>
      <c r="K610" s="52" t="s">
        <v>834</v>
      </c>
      <c r="L610" s="52"/>
      <c r="M610" s="39">
        <v>46062</v>
      </c>
      <c r="N610" s="38" t="s">
        <v>842</v>
      </c>
      <c r="O610" s="38" t="s">
        <v>390</v>
      </c>
      <c r="P610" s="38" t="s">
        <v>842</v>
      </c>
      <c r="Q610" s="38" t="s">
        <v>1559</v>
      </c>
      <c r="R610" s="38"/>
      <c r="S610" s="38" t="s">
        <v>834</v>
      </c>
    </row>
    <row r="611" spans="1:19" ht="19.2" x14ac:dyDescent="0.3">
      <c r="A611" s="47">
        <v>1152469339</v>
      </c>
      <c r="B611" s="51">
        <v>46032</v>
      </c>
      <c r="C611" s="36" t="s">
        <v>313</v>
      </c>
      <c r="D611" s="47">
        <v>1152469339</v>
      </c>
      <c r="E611" s="36" t="s">
        <v>101</v>
      </c>
      <c r="F611" s="37" t="s">
        <v>314</v>
      </c>
      <c r="G611" s="38">
        <v>3207490294</v>
      </c>
      <c r="H611" s="38">
        <v>5</v>
      </c>
      <c r="I611" s="38" t="s">
        <v>640</v>
      </c>
      <c r="J611" s="38" t="s">
        <v>971</v>
      </c>
      <c r="K611" s="38" t="s">
        <v>315</v>
      </c>
      <c r="L611" s="38"/>
      <c r="M611" s="39">
        <v>46043</v>
      </c>
      <c r="N611" s="38" t="s">
        <v>842</v>
      </c>
      <c r="O611" s="38" t="s">
        <v>390</v>
      </c>
      <c r="P611" s="38" t="s">
        <v>842</v>
      </c>
      <c r="Q611" s="38" t="s">
        <v>1559</v>
      </c>
      <c r="R611" s="38" t="s">
        <v>368</v>
      </c>
      <c r="S611" s="38" t="s">
        <v>315</v>
      </c>
    </row>
    <row r="612" spans="1:19" ht="28.8" x14ac:dyDescent="0.2">
      <c r="A612" s="47">
        <v>1192894272</v>
      </c>
      <c r="B612" s="48">
        <v>46050</v>
      </c>
      <c r="C612" s="36" t="s">
        <v>829</v>
      </c>
      <c r="D612" s="47">
        <v>1192894272</v>
      </c>
      <c r="E612" s="36" t="s">
        <v>349</v>
      </c>
      <c r="F612" s="37" t="s">
        <v>830</v>
      </c>
      <c r="G612" s="36">
        <v>3208695087</v>
      </c>
      <c r="H612" s="52">
        <v>4</v>
      </c>
      <c r="I612" s="38" t="s">
        <v>631</v>
      </c>
      <c r="J612" s="38" t="s">
        <v>631</v>
      </c>
      <c r="K612" s="52"/>
      <c r="L612" s="52" t="s">
        <v>836</v>
      </c>
      <c r="M612" s="39">
        <v>46062</v>
      </c>
      <c r="N612" s="38" t="s">
        <v>843</v>
      </c>
      <c r="O612" s="38" t="s">
        <v>390</v>
      </c>
      <c r="P612" s="38" t="s">
        <v>843</v>
      </c>
      <c r="Q612" s="38" t="s">
        <v>1558</v>
      </c>
      <c r="R612" s="38"/>
      <c r="S612" s="38"/>
    </row>
    <row r="613" spans="1:19" ht="19.2" hidden="1" x14ac:dyDescent="0.3">
      <c r="A613" s="47">
        <v>1193428099</v>
      </c>
      <c r="B613" s="39">
        <v>46038</v>
      </c>
      <c r="C613" s="36" t="s">
        <v>357</v>
      </c>
      <c r="D613" s="47">
        <v>1193428099</v>
      </c>
      <c r="E613" s="36" t="s">
        <v>261</v>
      </c>
      <c r="F613" s="37" t="s">
        <v>394</v>
      </c>
      <c r="G613" s="38">
        <v>3015014481</v>
      </c>
      <c r="H613" s="38">
        <v>4</v>
      </c>
      <c r="I613" s="38" t="s">
        <v>631</v>
      </c>
      <c r="J613" s="38" t="s">
        <v>631</v>
      </c>
      <c r="K613" s="38" t="s">
        <v>363</v>
      </c>
      <c r="L613" s="38"/>
      <c r="M613" s="39">
        <v>46049</v>
      </c>
      <c r="N613" s="38" t="s">
        <v>842</v>
      </c>
      <c r="O613" s="38" t="s">
        <v>380</v>
      </c>
      <c r="P613" s="38" t="s">
        <v>842</v>
      </c>
      <c r="Q613" s="38" t="s">
        <v>1559</v>
      </c>
      <c r="R613" s="38"/>
      <c r="S613" s="38" t="s">
        <v>363</v>
      </c>
    </row>
    <row r="614" spans="1:19" ht="19.2" hidden="1" customHeight="1" x14ac:dyDescent="0.3">
      <c r="A614" s="47">
        <v>1193536286</v>
      </c>
      <c r="B614" s="50">
        <v>46029</v>
      </c>
      <c r="C614" s="36" t="s">
        <v>6</v>
      </c>
      <c r="D614" s="47">
        <v>1193536286</v>
      </c>
      <c r="E614" s="36" t="s">
        <v>261</v>
      </c>
      <c r="F614" s="37" t="s">
        <v>7</v>
      </c>
      <c r="G614" s="36">
        <v>3194135667</v>
      </c>
      <c r="H614" s="36">
        <v>4</v>
      </c>
      <c r="I614" s="38" t="s">
        <v>631</v>
      </c>
      <c r="J614" s="38" t="s">
        <v>631</v>
      </c>
      <c r="K614" s="36" t="s">
        <v>258</v>
      </c>
      <c r="L614" s="36" t="s">
        <v>250</v>
      </c>
      <c r="M614" s="39">
        <v>46035</v>
      </c>
      <c r="N614" s="38" t="s">
        <v>842</v>
      </c>
      <c r="O614" s="38" t="s">
        <v>380</v>
      </c>
      <c r="P614" s="38" t="s">
        <v>842</v>
      </c>
      <c r="Q614" s="38" t="s">
        <v>1559</v>
      </c>
      <c r="R614" s="38"/>
      <c r="S614" s="38" t="s">
        <v>258</v>
      </c>
    </row>
    <row r="615" spans="1:19" ht="19.2" hidden="1" x14ac:dyDescent="0.3">
      <c r="A615" s="47">
        <v>1193538073</v>
      </c>
      <c r="B615" s="39">
        <v>46066</v>
      </c>
      <c r="C615" s="36" t="s">
        <v>1188</v>
      </c>
      <c r="D615" s="47">
        <v>1193538073</v>
      </c>
      <c r="E615" s="38" t="s">
        <v>261</v>
      </c>
      <c r="F615" s="37" t="s">
        <v>1189</v>
      </c>
      <c r="G615" s="38">
        <v>3177694430</v>
      </c>
      <c r="H615" s="38">
        <v>3</v>
      </c>
      <c r="I615" s="38" t="s">
        <v>632</v>
      </c>
      <c r="J615" s="38" t="s">
        <v>633</v>
      </c>
      <c r="K615" s="38" t="s">
        <v>1152</v>
      </c>
      <c r="L615" s="38"/>
      <c r="M615" s="39">
        <v>46076</v>
      </c>
      <c r="N615" s="38" t="s">
        <v>842</v>
      </c>
      <c r="O615" s="38" t="s">
        <v>380</v>
      </c>
      <c r="P615" s="38" t="s">
        <v>842</v>
      </c>
      <c r="Q615" s="38" t="s">
        <v>1559</v>
      </c>
      <c r="R615" s="38"/>
      <c r="S615" s="38" t="s">
        <v>1152</v>
      </c>
    </row>
    <row r="616" spans="1:19" ht="19.2" customHeight="1" x14ac:dyDescent="0.3">
      <c r="A616" s="47">
        <v>1233897996</v>
      </c>
      <c r="B616" s="39">
        <v>46056</v>
      </c>
      <c r="C616" s="36" t="s">
        <v>987</v>
      </c>
      <c r="D616" s="47">
        <v>1233897996</v>
      </c>
      <c r="E616" s="38" t="s">
        <v>349</v>
      </c>
      <c r="F616" s="37" t="s">
        <v>988</v>
      </c>
      <c r="G616" s="38">
        <v>3143737256</v>
      </c>
      <c r="H616" s="38">
        <v>4</v>
      </c>
      <c r="I616" s="38" t="s">
        <v>631</v>
      </c>
      <c r="J616" s="38" t="s">
        <v>631</v>
      </c>
      <c r="K616" s="38"/>
      <c r="L616" s="38" t="s">
        <v>989</v>
      </c>
      <c r="M616" s="39"/>
      <c r="N616" s="38" t="s">
        <v>843</v>
      </c>
      <c r="O616" s="38" t="s">
        <v>390</v>
      </c>
      <c r="P616" s="38" t="s">
        <v>843</v>
      </c>
      <c r="Q616" s="38"/>
      <c r="R616" s="38"/>
      <c r="S616" s="38"/>
    </row>
    <row r="617" spans="1:19" ht="19.2" x14ac:dyDescent="0.2">
      <c r="A617" s="47">
        <v>1234338768</v>
      </c>
      <c r="B617" s="48">
        <v>46050</v>
      </c>
      <c r="C617" s="36" t="s">
        <v>831</v>
      </c>
      <c r="D617" s="47">
        <v>1234338768</v>
      </c>
      <c r="E617" s="36" t="s">
        <v>349</v>
      </c>
      <c r="F617" s="37" t="s">
        <v>832</v>
      </c>
      <c r="G617" s="36">
        <v>3224498344</v>
      </c>
      <c r="H617" s="52">
        <v>3</v>
      </c>
      <c r="I617" s="38" t="s">
        <v>643</v>
      </c>
      <c r="J617" s="38" t="e">
        <v>#REF!</v>
      </c>
      <c r="K617" s="52" t="s">
        <v>834</v>
      </c>
      <c r="L617" s="52"/>
      <c r="M617" s="39">
        <v>46062</v>
      </c>
      <c r="N617" s="38" t="s">
        <v>842</v>
      </c>
      <c r="O617" s="38" t="s">
        <v>390</v>
      </c>
      <c r="P617" s="38" t="s">
        <v>842</v>
      </c>
      <c r="Q617" s="38" t="s">
        <v>1559</v>
      </c>
      <c r="R617" s="38"/>
      <c r="S617" s="38" t="s">
        <v>834</v>
      </c>
    </row>
    <row r="618" spans="1:19" ht="19.2" customHeight="1" x14ac:dyDescent="0.3">
      <c r="A618" s="47">
        <v>10618221167</v>
      </c>
      <c r="B618" s="39">
        <v>46062</v>
      </c>
      <c r="C618" s="36" t="s">
        <v>1092</v>
      </c>
      <c r="D618" s="47">
        <v>10618221167</v>
      </c>
      <c r="E618" s="38" t="s">
        <v>101</v>
      </c>
      <c r="F618" s="37" t="s">
        <v>1093</v>
      </c>
      <c r="G618" s="38">
        <v>3116901804</v>
      </c>
      <c r="H618" s="38">
        <v>5</v>
      </c>
      <c r="I618" s="38" t="s">
        <v>634</v>
      </c>
      <c r="J618" s="38" t="s">
        <v>635</v>
      </c>
      <c r="K618" s="38" t="s">
        <v>1064</v>
      </c>
      <c r="L618" s="38"/>
      <c r="M618" s="39">
        <v>46072</v>
      </c>
      <c r="N618" s="38" t="s">
        <v>842</v>
      </c>
      <c r="O618" s="38" t="s">
        <v>390</v>
      </c>
      <c r="P618" s="38" t="s">
        <v>842</v>
      </c>
      <c r="Q618" s="38" t="s">
        <v>1560</v>
      </c>
      <c r="R618" s="38" t="s">
        <v>1589</v>
      </c>
      <c r="S618" s="38"/>
    </row>
  </sheetData>
  <autoFilter ref="A1:S618" xr:uid="{0D8CCCFA-6C62-4D0F-908C-4A721E809D63}">
    <filterColumn colId="4">
      <filters>
        <filter val="Gestor"/>
        <filter val="Profesional Tallerista"/>
        <filter val="TALLERISTA"/>
      </filters>
    </filterColumn>
  </autoFilter>
  <conditionalFormatting sqref="A1:A1048576">
    <cfRule type="duplicateValues" dxfId="5" priority="2"/>
  </conditionalFormatting>
  <conditionalFormatting sqref="D1:D1048576">
    <cfRule type="duplicateValues" dxfId="4" priority="1"/>
  </conditionalFormatting>
  <hyperlinks>
    <hyperlink ref="F526" r:id="rId1" xr:uid="{ECAA9C27-412B-458B-A4E4-F86320743A17}"/>
    <hyperlink ref="F260" r:id="rId2" xr:uid="{9B3D1744-C308-48C8-BF5E-42389258C458}"/>
    <hyperlink ref="F163" r:id="rId3" xr:uid="{50FA7D8C-7208-4B03-9846-21F3A03C8714}"/>
    <hyperlink ref="F534" r:id="rId4" xr:uid="{2E43B387-4312-4C1C-BB1F-C80805123CFB}"/>
    <hyperlink ref="F529" r:id="rId5" xr:uid="{072B9A36-5BE7-4452-A3F0-4C7AC16EF5DD}"/>
    <hyperlink ref="F441" r:id="rId6" xr:uid="{6939EECF-239B-46CB-BD20-81E492B7A446}"/>
    <hyperlink ref="F528" r:id="rId7" xr:uid="{0528C73E-090A-4C48-9783-CF53B86BA21E}"/>
    <hyperlink ref="F413" r:id="rId8" xr:uid="{135CD947-5CD8-4B9C-A4F6-D6CDFE26F8A7}"/>
    <hyperlink ref="F597" r:id="rId9" xr:uid="{6EC3A3FB-01F9-48AB-AFF1-9E8F3D18055C}"/>
    <hyperlink ref="F73" r:id="rId10" xr:uid="{84D62801-AD92-43F9-8306-111D53E8788A}"/>
    <hyperlink ref="F27" r:id="rId11" xr:uid="{C52006FF-0225-4A01-9302-E1A3FAE7DC88}"/>
    <hyperlink ref="F457" r:id="rId12" xr:uid="{BDF53B5B-AD6E-473E-BF5E-15763D2AD671}"/>
    <hyperlink ref="F9" r:id="rId13" xr:uid="{2E8CCE47-5FA8-450E-A5AB-239C2CA14968}"/>
    <hyperlink ref="F216" r:id="rId14" xr:uid="{300CC906-668C-4ECA-8179-2A68D4D279BC}"/>
    <hyperlink ref="F111" r:id="rId15" xr:uid="{6D151D81-F439-4E25-8FD3-C1339AB37489}"/>
    <hyperlink ref="F162" r:id="rId16" xr:uid="{E16BB499-FBC5-4AF6-870A-515B06531766}"/>
    <hyperlink ref="F219" r:id="rId17" xr:uid="{64DB39DF-429D-4C30-AEE8-97CB8345195F}"/>
    <hyperlink ref="F608" r:id="rId18" xr:uid="{090FBFCF-3738-4A87-9473-276204EA6757}"/>
    <hyperlink ref="F22" r:id="rId19" xr:uid="{E3F5C51B-A88F-4BD6-B49D-22F8DB195D4D}"/>
    <hyperlink ref="F456" r:id="rId20" xr:uid="{EB96C636-E97D-4E73-8817-0C2C594482FA}"/>
    <hyperlink ref="F2" r:id="rId21" xr:uid="{E86B54CC-5328-436E-8EB7-D7A89E92C625}"/>
    <hyperlink ref="F565" r:id="rId22" xr:uid="{BE05C4AD-A240-4E62-9201-817F0849AB98}"/>
    <hyperlink ref="F226" r:id="rId23" xr:uid="{5A914492-D37B-4E68-8341-BDCD3781C99B}"/>
    <hyperlink ref="F15" r:id="rId24" xr:uid="{B804B3C9-24DE-4223-934C-A9894F7A6DAB}"/>
    <hyperlink ref="F47" r:id="rId25" xr:uid="{D94BCB4B-CD48-447B-BD2D-E61F49067F9A}"/>
  </hyperlinks>
  <pageMargins left="0.7" right="0.7" top="0.75" bottom="0.75" header="0.3" footer="0.3"/>
  <legacyDrawing r:id="rId2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B23658-3572-49DD-BB0B-03F13846C224}">
          <x14:formula1>
            <xm:f>Hoja1!$B$2:$B$10</xm:f>
          </x14:formula1>
          <xm:sqref>E467:E469 E471 E460 E544 E511:E524 E565:E568 E535:E537 E530 E552:E553 E539:E540 E546 E2:E448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FCC0-AC1E-4F5E-A360-25DD29D70364}">
  <dimension ref="A1:R7"/>
  <sheetViews>
    <sheetView workbookViewId="0">
      <selection activeCell="C1" sqref="C1"/>
    </sheetView>
  </sheetViews>
  <sheetFormatPr baseColWidth="10" defaultRowHeight="14.4" x14ac:dyDescent="0.3"/>
  <sheetData>
    <row r="1" spans="1:18" s="29" customFormat="1" ht="50.4" customHeight="1" x14ac:dyDescent="0.3">
      <c r="A1" s="35" t="s">
        <v>1</v>
      </c>
      <c r="B1" s="46" t="s">
        <v>2</v>
      </c>
      <c r="C1" s="35" t="s">
        <v>3</v>
      </c>
      <c r="D1" s="35" t="s">
        <v>4</v>
      </c>
      <c r="E1" s="35" t="s">
        <v>5</v>
      </c>
      <c r="F1" s="35" t="s">
        <v>365</v>
      </c>
      <c r="G1" s="35" t="s">
        <v>627</v>
      </c>
      <c r="H1" s="35" t="s">
        <v>628</v>
      </c>
      <c r="I1" s="35" t="s">
        <v>241</v>
      </c>
      <c r="J1" s="35" t="s">
        <v>260</v>
      </c>
      <c r="K1" s="35" t="s">
        <v>350</v>
      </c>
      <c r="L1" s="35" t="s">
        <v>391</v>
      </c>
      <c r="M1" s="35" t="s">
        <v>392</v>
      </c>
      <c r="N1" s="35" t="s">
        <v>841</v>
      </c>
      <c r="O1" s="35" t="s">
        <v>1556</v>
      </c>
      <c r="P1" s="35" t="s">
        <v>1557</v>
      </c>
      <c r="Q1" s="35" t="s">
        <v>1594</v>
      </c>
      <c r="R1" s="35" t="s">
        <v>1594</v>
      </c>
    </row>
    <row r="2" spans="1:18" ht="48" x14ac:dyDescent="0.3">
      <c r="A2" s="36" t="s">
        <v>34</v>
      </c>
      <c r="B2" s="61">
        <v>1098812449</v>
      </c>
      <c r="C2" s="36" t="s">
        <v>261</v>
      </c>
      <c r="D2" s="37" t="s">
        <v>35</v>
      </c>
      <c r="E2" s="36">
        <v>3112637825</v>
      </c>
      <c r="F2" s="36">
        <v>3</v>
      </c>
      <c r="G2" s="38" t="s">
        <v>632</v>
      </c>
      <c r="H2" s="38" t="s">
        <v>633</v>
      </c>
      <c r="I2" s="36" t="s">
        <v>1418</v>
      </c>
      <c r="J2" s="36" t="s">
        <v>256</v>
      </c>
      <c r="K2" s="39">
        <v>46035</v>
      </c>
      <c r="L2" s="38" t="s">
        <v>842</v>
      </c>
      <c r="M2" s="38" t="s">
        <v>380</v>
      </c>
      <c r="N2" s="38" t="s">
        <v>843</v>
      </c>
      <c r="O2" s="38" t="s">
        <v>1558</v>
      </c>
    </row>
    <row r="3" spans="1:18" ht="48" x14ac:dyDescent="0.3">
      <c r="A3" s="38" t="s">
        <v>34</v>
      </c>
      <c r="B3" s="38">
        <v>1098812449</v>
      </c>
      <c r="C3" s="38" t="s">
        <v>1764</v>
      </c>
      <c r="D3" s="37" t="s">
        <v>35</v>
      </c>
      <c r="E3" s="38"/>
      <c r="F3" s="38">
        <v>3</v>
      </c>
      <c r="G3" s="38"/>
      <c r="H3" s="38"/>
      <c r="I3" s="38" t="s">
        <v>1777</v>
      </c>
      <c r="J3" s="38"/>
      <c r="K3" s="39">
        <v>46165</v>
      </c>
      <c r="L3" s="38" t="s">
        <v>1705</v>
      </c>
      <c r="M3" s="38"/>
      <c r="N3" s="38"/>
      <c r="O3" s="38"/>
    </row>
    <row r="4" spans="1:18" ht="57.6" x14ac:dyDescent="0.3">
      <c r="A4" s="36" t="s">
        <v>1181</v>
      </c>
      <c r="B4" s="47">
        <v>56096742</v>
      </c>
      <c r="C4" s="38" t="s">
        <v>349</v>
      </c>
      <c r="D4" s="37" t="s">
        <v>1182</v>
      </c>
      <c r="E4" s="38">
        <v>3217761167</v>
      </c>
      <c r="F4" s="38">
        <v>1</v>
      </c>
      <c r="G4" s="38" t="s">
        <v>638</v>
      </c>
      <c r="H4" s="38" t="s">
        <v>639</v>
      </c>
      <c r="I4" s="38" t="s">
        <v>1152</v>
      </c>
      <c r="J4" s="38"/>
      <c r="K4" s="39"/>
      <c r="L4" s="38" t="s">
        <v>842</v>
      </c>
      <c r="M4" s="38" t="s">
        <v>390</v>
      </c>
      <c r="N4" s="38" t="s">
        <v>843</v>
      </c>
      <c r="O4" s="38"/>
    </row>
    <row r="5" spans="1:18" ht="57.6" x14ac:dyDescent="0.3">
      <c r="A5" s="58" t="s">
        <v>1181</v>
      </c>
      <c r="B5" s="58">
        <v>56096742</v>
      </c>
      <c r="C5" s="58" t="s">
        <v>1700</v>
      </c>
      <c r="D5" s="59" t="s">
        <v>1739</v>
      </c>
      <c r="E5" s="58">
        <v>3217761167</v>
      </c>
      <c r="F5" s="60">
        <v>1</v>
      </c>
      <c r="G5" s="38"/>
      <c r="H5" s="38"/>
      <c r="I5" s="57" t="s">
        <v>1760</v>
      </c>
      <c r="J5" s="38"/>
      <c r="K5" s="39">
        <v>46163</v>
      </c>
      <c r="L5" s="38" t="s">
        <v>1705</v>
      </c>
      <c r="M5" s="38"/>
      <c r="N5" s="38"/>
      <c r="O5" s="38"/>
    </row>
    <row r="6" spans="1:18" ht="57.6" x14ac:dyDescent="0.3">
      <c r="A6" s="36" t="s">
        <v>8</v>
      </c>
      <c r="B6" s="47">
        <v>1102724007</v>
      </c>
      <c r="C6" s="36" t="s">
        <v>381</v>
      </c>
      <c r="D6" s="37" t="s">
        <v>137</v>
      </c>
      <c r="E6" s="36">
        <v>3132747639</v>
      </c>
      <c r="F6" s="36">
        <v>4</v>
      </c>
      <c r="G6" s="38" t="s">
        <v>631</v>
      </c>
      <c r="H6" s="38" t="s">
        <v>631</v>
      </c>
      <c r="I6" s="40"/>
      <c r="J6" s="36" t="s">
        <v>1539</v>
      </c>
      <c r="K6" s="39">
        <v>46035</v>
      </c>
      <c r="L6" s="38" t="s">
        <v>843</v>
      </c>
      <c r="M6" s="38" t="s">
        <v>380</v>
      </c>
      <c r="N6" s="38" t="s">
        <v>843</v>
      </c>
      <c r="O6" s="38" t="s">
        <v>1558</v>
      </c>
    </row>
    <row r="7" spans="1:18" ht="57.6" x14ac:dyDescent="0.3">
      <c r="A7" s="36" t="s">
        <v>1597</v>
      </c>
      <c r="B7" s="47">
        <v>1102724007</v>
      </c>
      <c r="C7" s="36" t="s">
        <v>261</v>
      </c>
      <c r="D7" s="37" t="s">
        <v>1599</v>
      </c>
      <c r="E7" s="38">
        <v>3132747639</v>
      </c>
      <c r="F7" s="38">
        <v>4</v>
      </c>
      <c r="G7" s="38" t="s">
        <v>631</v>
      </c>
      <c r="H7" s="38" t="s">
        <v>631</v>
      </c>
      <c r="I7" s="38" t="s">
        <v>1598</v>
      </c>
      <c r="J7" s="38"/>
      <c r="K7" s="39">
        <v>46035</v>
      </c>
      <c r="L7" s="38" t="s">
        <v>842</v>
      </c>
      <c r="M7" s="38" t="s">
        <v>380</v>
      </c>
      <c r="N7" s="38" t="s">
        <v>843</v>
      </c>
      <c r="O7" s="38"/>
    </row>
  </sheetData>
  <conditionalFormatting sqref="B1">
    <cfRule type="duplicateValues" dxfId="3" priority="4"/>
  </conditionalFormatting>
  <conditionalFormatting sqref="B2:B3">
    <cfRule type="duplicateValues" dxfId="2" priority="3"/>
  </conditionalFormatting>
  <conditionalFormatting sqref="B4:B5">
    <cfRule type="duplicateValues" dxfId="1" priority="2"/>
  </conditionalFormatting>
  <conditionalFormatting sqref="B6:B7">
    <cfRule type="duplicateValues" dxfId="0" priority="1"/>
  </conditionalFormatting>
  <hyperlinks>
    <hyperlink ref="D3" r:id="rId1" xr:uid="{DEBAD557-6F02-4CA2-B6C9-40D7D4361FA7}"/>
    <hyperlink ref="D5" r:id="rId2" xr:uid="{C4354AFC-74C1-4ACD-A32F-B786DF0A04E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0A9F2F-344D-4D71-9E4F-18BA3D88E9BA}">
          <x14:formula1>
            <xm:f>Hoja1!$B$2:$B$10</xm:f>
          </x14:formula1>
          <xm:sqref>C4:C5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1FC0-6E4F-46F4-8FA8-FBA281DEF3D7}">
  <dimension ref="A3:F53"/>
  <sheetViews>
    <sheetView topLeftCell="A31" workbookViewId="0">
      <selection activeCell="D39" sqref="D39"/>
    </sheetView>
  </sheetViews>
  <sheetFormatPr baseColWidth="10" defaultRowHeight="14.4" x14ac:dyDescent="0.3"/>
  <cols>
    <col min="1" max="1" width="43.21875" bestFit="1" customWidth="1"/>
    <col min="2" max="2" width="28.88671875" bestFit="1" customWidth="1"/>
    <col min="3" max="3" width="22.33203125" bestFit="1" customWidth="1"/>
    <col min="4" max="4" width="14.88671875" bestFit="1" customWidth="1"/>
    <col min="5" max="5" width="48.77734375" bestFit="1" customWidth="1"/>
  </cols>
  <sheetData>
    <row r="3" spans="1:6" x14ac:dyDescent="0.3">
      <c r="A3" s="19" t="s">
        <v>1540</v>
      </c>
      <c r="B3" t="s">
        <v>1542</v>
      </c>
      <c r="C3" t="s">
        <v>1543</v>
      </c>
      <c r="E3" s="22" t="s">
        <v>1545</v>
      </c>
      <c r="F3" s="22" t="s">
        <v>1546</v>
      </c>
    </row>
    <row r="4" spans="1:6" x14ac:dyDescent="0.3">
      <c r="A4" s="20" t="s">
        <v>366</v>
      </c>
      <c r="B4">
        <v>5</v>
      </c>
      <c r="C4">
        <v>1</v>
      </c>
      <c r="E4" t="s">
        <v>1544</v>
      </c>
      <c r="F4">
        <v>5</v>
      </c>
    </row>
    <row r="5" spans="1:6" x14ac:dyDescent="0.3">
      <c r="A5" s="21">
        <v>1</v>
      </c>
      <c r="B5">
        <v>1</v>
      </c>
    </row>
    <row r="6" spans="1:6" x14ac:dyDescent="0.3">
      <c r="A6" s="21">
        <v>3</v>
      </c>
      <c r="B6">
        <v>1</v>
      </c>
    </row>
    <row r="7" spans="1:6" x14ac:dyDescent="0.3">
      <c r="A7" s="21">
        <v>4</v>
      </c>
      <c r="B7">
        <v>2</v>
      </c>
    </row>
    <row r="8" spans="1:6" x14ac:dyDescent="0.3">
      <c r="A8" s="21">
        <v>5</v>
      </c>
      <c r="B8">
        <v>1</v>
      </c>
      <c r="C8">
        <v>1</v>
      </c>
    </row>
    <row r="9" spans="1:6" x14ac:dyDescent="0.3">
      <c r="A9" s="20" t="s">
        <v>389</v>
      </c>
      <c r="B9">
        <v>14</v>
      </c>
      <c r="C9">
        <v>5</v>
      </c>
      <c r="E9" t="s">
        <v>1547</v>
      </c>
      <c r="F9">
        <v>10</v>
      </c>
    </row>
    <row r="10" spans="1:6" x14ac:dyDescent="0.3">
      <c r="A10" s="21">
        <v>1</v>
      </c>
      <c r="B10">
        <v>3</v>
      </c>
    </row>
    <row r="11" spans="1:6" x14ac:dyDescent="0.3">
      <c r="A11" s="21">
        <v>3</v>
      </c>
      <c r="B11">
        <v>1</v>
      </c>
    </row>
    <row r="12" spans="1:6" x14ac:dyDescent="0.3">
      <c r="A12" s="21">
        <v>4</v>
      </c>
      <c r="B12">
        <v>8</v>
      </c>
      <c r="C12">
        <v>4</v>
      </c>
    </row>
    <row r="13" spans="1:6" x14ac:dyDescent="0.3">
      <c r="A13" s="21">
        <v>5</v>
      </c>
      <c r="B13">
        <v>2</v>
      </c>
      <c r="C13">
        <v>1</v>
      </c>
    </row>
    <row r="14" spans="1:6" x14ac:dyDescent="0.3">
      <c r="A14" s="20" t="s">
        <v>101</v>
      </c>
      <c r="B14">
        <v>260</v>
      </c>
      <c r="C14">
        <v>43</v>
      </c>
      <c r="E14" t="s">
        <v>1548</v>
      </c>
      <c r="F14">
        <f>165+18</f>
        <v>183</v>
      </c>
    </row>
    <row r="15" spans="1:6" x14ac:dyDescent="0.3">
      <c r="A15" s="21">
        <v>1</v>
      </c>
      <c r="B15">
        <v>44</v>
      </c>
      <c r="C15">
        <v>8</v>
      </c>
    </row>
    <row r="16" spans="1:6" x14ac:dyDescent="0.3">
      <c r="A16" s="21">
        <v>2</v>
      </c>
      <c r="B16">
        <v>29</v>
      </c>
      <c r="C16">
        <v>6</v>
      </c>
    </row>
    <row r="17" spans="1:6" x14ac:dyDescent="0.3">
      <c r="A17" s="21">
        <v>3</v>
      </c>
      <c r="B17">
        <v>31</v>
      </c>
      <c r="C17">
        <v>4</v>
      </c>
    </row>
    <row r="18" spans="1:6" x14ac:dyDescent="0.3">
      <c r="A18" s="21">
        <v>4</v>
      </c>
      <c r="B18">
        <v>88</v>
      </c>
      <c r="C18">
        <v>12</v>
      </c>
    </row>
    <row r="19" spans="1:6" x14ac:dyDescent="0.3">
      <c r="A19" s="21">
        <v>5</v>
      </c>
      <c r="B19">
        <v>68</v>
      </c>
      <c r="C19">
        <v>13</v>
      </c>
    </row>
    <row r="20" spans="1:6" x14ac:dyDescent="0.3">
      <c r="A20" s="20" t="s">
        <v>383</v>
      </c>
      <c r="B20">
        <v>5</v>
      </c>
      <c r="E20" t="s">
        <v>1549</v>
      </c>
      <c r="F20">
        <v>5</v>
      </c>
    </row>
    <row r="21" spans="1:6" x14ac:dyDescent="0.3">
      <c r="A21" s="21">
        <v>1</v>
      </c>
      <c r="B21">
        <v>1</v>
      </c>
    </row>
    <row r="22" spans="1:6" x14ac:dyDescent="0.3">
      <c r="A22" s="21">
        <v>2</v>
      </c>
      <c r="B22">
        <v>1</v>
      </c>
    </row>
    <row r="23" spans="1:6" x14ac:dyDescent="0.3">
      <c r="A23" s="21">
        <v>3</v>
      </c>
      <c r="B23">
        <v>1</v>
      </c>
    </row>
    <row r="24" spans="1:6" x14ac:dyDescent="0.3">
      <c r="A24" s="21">
        <v>4</v>
      </c>
      <c r="B24">
        <v>2</v>
      </c>
    </row>
    <row r="25" spans="1:6" x14ac:dyDescent="0.3">
      <c r="A25" s="20" t="s">
        <v>382</v>
      </c>
      <c r="B25">
        <v>8</v>
      </c>
      <c r="C25">
        <v>3</v>
      </c>
      <c r="E25" t="s">
        <v>1550</v>
      </c>
      <c r="F25">
        <v>5</v>
      </c>
    </row>
    <row r="26" spans="1:6" x14ac:dyDescent="0.3">
      <c r="A26" s="21">
        <v>1</v>
      </c>
      <c r="C26">
        <v>2</v>
      </c>
    </row>
    <row r="27" spans="1:6" x14ac:dyDescent="0.3">
      <c r="A27" s="21">
        <v>2</v>
      </c>
      <c r="B27">
        <v>2</v>
      </c>
    </row>
    <row r="28" spans="1:6" x14ac:dyDescent="0.3">
      <c r="A28" s="21">
        <v>3</v>
      </c>
      <c r="B28">
        <v>1</v>
      </c>
    </row>
    <row r="29" spans="1:6" x14ac:dyDescent="0.3">
      <c r="A29" s="21">
        <v>4</v>
      </c>
      <c r="B29">
        <v>5</v>
      </c>
      <c r="C29">
        <v>1</v>
      </c>
    </row>
    <row r="30" spans="1:6" x14ac:dyDescent="0.3">
      <c r="A30" s="20" t="s">
        <v>261</v>
      </c>
      <c r="B30">
        <v>34</v>
      </c>
      <c r="C30">
        <v>7</v>
      </c>
      <c r="E30" t="s">
        <v>1551</v>
      </c>
      <c r="F30">
        <f>25+10</f>
        <v>35</v>
      </c>
    </row>
    <row r="31" spans="1:6" x14ac:dyDescent="0.3">
      <c r="A31" s="21">
        <v>1</v>
      </c>
      <c r="B31">
        <v>6</v>
      </c>
    </row>
    <row r="32" spans="1:6" x14ac:dyDescent="0.3">
      <c r="A32" s="21">
        <v>2</v>
      </c>
      <c r="B32">
        <v>2</v>
      </c>
      <c r="C32">
        <v>1</v>
      </c>
    </row>
    <row r="33" spans="1:6" x14ac:dyDescent="0.3">
      <c r="A33" s="21">
        <v>3</v>
      </c>
      <c r="B33">
        <v>7</v>
      </c>
      <c r="C33">
        <v>2</v>
      </c>
    </row>
    <row r="34" spans="1:6" x14ac:dyDescent="0.3">
      <c r="A34" s="21">
        <v>4</v>
      </c>
      <c r="B34">
        <v>16</v>
      </c>
      <c r="C34">
        <v>4</v>
      </c>
    </row>
    <row r="35" spans="1:6" x14ac:dyDescent="0.3">
      <c r="A35" s="21">
        <v>5</v>
      </c>
      <c r="B35">
        <v>3</v>
      </c>
    </row>
    <row r="36" spans="1:6" x14ac:dyDescent="0.3">
      <c r="A36" s="20" t="s">
        <v>381</v>
      </c>
      <c r="B36">
        <v>9</v>
      </c>
      <c r="C36">
        <v>5</v>
      </c>
      <c r="E36" t="s">
        <v>1552</v>
      </c>
      <c r="F36">
        <v>5</v>
      </c>
    </row>
    <row r="37" spans="1:6" x14ac:dyDescent="0.3">
      <c r="A37" s="21">
        <v>1</v>
      </c>
      <c r="B37">
        <v>1</v>
      </c>
    </row>
    <row r="38" spans="1:6" x14ac:dyDescent="0.3">
      <c r="A38" s="21">
        <v>3</v>
      </c>
      <c r="B38">
        <v>2</v>
      </c>
      <c r="C38">
        <v>3</v>
      </c>
    </row>
    <row r="39" spans="1:6" x14ac:dyDescent="0.3">
      <c r="A39" s="21">
        <v>4</v>
      </c>
      <c r="B39">
        <v>5</v>
      </c>
      <c r="C39">
        <v>2</v>
      </c>
    </row>
    <row r="40" spans="1:6" x14ac:dyDescent="0.3">
      <c r="A40" s="21">
        <v>5</v>
      </c>
      <c r="B40">
        <v>1</v>
      </c>
    </row>
    <row r="41" spans="1:6" x14ac:dyDescent="0.3">
      <c r="A41" s="20" t="s">
        <v>349</v>
      </c>
      <c r="B41">
        <v>116</v>
      </c>
      <c r="C41">
        <v>45</v>
      </c>
      <c r="E41" t="s">
        <v>1553</v>
      </c>
      <c r="F41">
        <f>65+2</f>
        <v>67</v>
      </c>
    </row>
    <row r="42" spans="1:6" x14ac:dyDescent="0.3">
      <c r="A42" s="21">
        <v>1</v>
      </c>
      <c r="B42">
        <v>22</v>
      </c>
      <c r="C42">
        <v>7</v>
      </c>
    </row>
    <row r="43" spans="1:6" x14ac:dyDescent="0.3">
      <c r="A43" s="21">
        <v>2</v>
      </c>
      <c r="B43">
        <v>11</v>
      </c>
      <c r="C43">
        <v>5</v>
      </c>
    </row>
    <row r="44" spans="1:6" x14ac:dyDescent="0.3">
      <c r="A44" s="21">
        <v>3</v>
      </c>
      <c r="B44">
        <v>9</v>
      </c>
    </row>
    <row r="45" spans="1:6" x14ac:dyDescent="0.3">
      <c r="A45" s="21">
        <v>4</v>
      </c>
      <c r="B45">
        <v>52</v>
      </c>
      <c r="C45">
        <v>25</v>
      </c>
    </row>
    <row r="46" spans="1:6" x14ac:dyDescent="0.3">
      <c r="A46" s="21">
        <v>5</v>
      </c>
      <c r="B46">
        <v>22</v>
      </c>
      <c r="C46">
        <v>8</v>
      </c>
    </row>
    <row r="47" spans="1:6" x14ac:dyDescent="0.3">
      <c r="A47" s="20" t="s">
        <v>384</v>
      </c>
      <c r="B47">
        <v>22</v>
      </c>
      <c r="C47">
        <v>5</v>
      </c>
      <c r="E47" t="s">
        <v>1554</v>
      </c>
      <c r="F47">
        <f>15+5</f>
        <v>20</v>
      </c>
    </row>
    <row r="48" spans="1:6" x14ac:dyDescent="0.3">
      <c r="A48" s="21">
        <v>1</v>
      </c>
      <c r="B48">
        <v>4</v>
      </c>
      <c r="C48">
        <v>1</v>
      </c>
    </row>
    <row r="49" spans="1:3" x14ac:dyDescent="0.3">
      <c r="A49" s="21">
        <v>2</v>
      </c>
      <c r="B49">
        <v>2</v>
      </c>
      <c r="C49">
        <v>2</v>
      </c>
    </row>
    <row r="50" spans="1:3" x14ac:dyDescent="0.3">
      <c r="A50" s="21">
        <v>3</v>
      </c>
      <c r="B50">
        <v>4</v>
      </c>
    </row>
    <row r="51" spans="1:3" x14ac:dyDescent="0.3">
      <c r="A51" s="21">
        <v>4</v>
      </c>
      <c r="B51">
        <v>5</v>
      </c>
    </row>
    <row r="52" spans="1:3" x14ac:dyDescent="0.3">
      <c r="A52" s="21">
        <v>5</v>
      </c>
      <c r="B52">
        <v>7</v>
      </c>
      <c r="C52">
        <v>2</v>
      </c>
    </row>
    <row r="53" spans="1:3" x14ac:dyDescent="0.3">
      <c r="A53" s="20" t="s">
        <v>1541</v>
      </c>
      <c r="B53">
        <v>473</v>
      </c>
      <c r="C53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DCA7-356D-44BC-B60B-97D6C4AFEB7A}">
  <dimension ref="A1:J24"/>
  <sheetViews>
    <sheetView showGridLines="0" workbookViewId="0">
      <pane xSplit="1" ySplit="2" topLeftCell="B3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baseColWidth="10" defaultColWidth="10.88671875" defaultRowHeight="14.4" x14ac:dyDescent="0.3"/>
  <cols>
    <col min="1" max="1" width="38.44140625" style="4" customWidth="1"/>
    <col min="2" max="2" width="13.88671875" style="4" customWidth="1"/>
    <col min="3" max="3" width="14.6640625" style="4" customWidth="1"/>
    <col min="4" max="4" width="15.109375" style="4" customWidth="1"/>
    <col min="5" max="5" width="13.5546875" style="4" customWidth="1"/>
    <col min="6" max="6" width="13" style="4" customWidth="1"/>
    <col min="7" max="7" width="11.33203125" style="4" customWidth="1"/>
    <col min="8" max="8" width="9.6640625" style="4" bestFit="1" customWidth="1"/>
    <col min="9" max="9" width="17.88671875" style="4" bestFit="1" customWidth="1"/>
    <col min="10" max="10" width="22.5546875" style="4" customWidth="1"/>
    <col min="11" max="16384" width="10.88671875" style="4"/>
  </cols>
  <sheetData>
    <row r="1" spans="1:10" x14ac:dyDescent="0.3">
      <c r="A1" s="63" t="s">
        <v>262</v>
      </c>
      <c r="B1" s="64" t="s">
        <v>393</v>
      </c>
      <c r="C1" s="65"/>
      <c r="D1" s="65"/>
      <c r="E1" s="65"/>
      <c r="F1" s="65"/>
      <c r="G1" s="66"/>
      <c r="H1" s="67" t="s">
        <v>378</v>
      </c>
      <c r="I1" s="69" t="s">
        <v>379</v>
      </c>
    </row>
    <row r="2" spans="1:10" x14ac:dyDescent="0.3">
      <c r="A2" s="63"/>
      <c r="B2" s="5">
        <v>46035</v>
      </c>
      <c r="C2" s="5">
        <v>46039</v>
      </c>
      <c r="D2" s="5">
        <v>46043</v>
      </c>
      <c r="E2" s="5">
        <v>46049</v>
      </c>
      <c r="F2" s="5">
        <v>46057</v>
      </c>
      <c r="G2" s="5"/>
      <c r="H2" s="68"/>
      <c r="I2" s="69"/>
    </row>
    <row r="3" spans="1:10" x14ac:dyDescent="0.3">
      <c r="A3" s="3" t="s">
        <v>366</v>
      </c>
      <c r="B3" s="15" t="e">
        <f>COUNTIFS(#REF!,'Equipo aprobado UdeA'!$B$2,#REF!,'Equipo aprobado UdeA'!A3,#REF!,"&lt;&gt;")</f>
        <v>#REF!</v>
      </c>
      <c r="C3" s="15" t="e">
        <f>COUNTIFS(#REF!,'Equipo aprobado UdeA'!$C$2,#REF!,'Equipo aprobado UdeA'!A3,#REF!,"&lt;&gt;")</f>
        <v>#REF!</v>
      </c>
      <c r="D3" s="15" t="e">
        <f>COUNTIFS(#REF!,'Equipo aprobado UdeA'!$D$2,#REF!,'Equipo aprobado UdeA'!A3,#REF!,"&lt;&gt;")</f>
        <v>#REF!</v>
      </c>
      <c r="E3" s="15" t="e">
        <f>COUNTIFS(#REF!,'Equipo aprobado UdeA'!$E$2,#REF!,'Equipo aprobado UdeA'!A3,#REF!,"&lt;&gt;")</f>
        <v>#REF!</v>
      </c>
      <c r="F3" s="15" t="e">
        <f>COUNTIFS(#REF!,'Equipo aprobado UdeA'!$F$2,#REF!,'Equipo aprobado UdeA'!A3,#REF!,"&lt;&gt;")</f>
        <v>#REF!</v>
      </c>
      <c r="G3" s="15" t="e">
        <f>COUNTIFS(#REF!,$G$2,#REF!,'Equipo aprobado UdeA'!A3,#REF!,"&lt;&gt;")</f>
        <v>#REF!</v>
      </c>
      <c r="H3" s="15" t="e">
        <f>SUM(B3:G3)</f>
        <v>#REF!</v>
      </c>
      <c r="I3" s="6">
        <v>5</v>
      </c>
      <c r="J3" s="4" t="s">
        <v>380</v>
      </c>
    </row>
    <row r="4" spans="1:10" x14ac:dyDescent="0.3">
      <c r="A4" s="3" t="s">
        <v>381</v>
      </c>
      <c r="B4" s="15" t="e">
        <f>COUNTIFS(#REF!,'Equipo aprobado UdeA'!$B$2,#REF!,'Equipo aprobado UdeA'!A4,#REF!,"&lt;&gt;")</f>
        <v>#REF!</v>
      </c>
      <c r="C4" s="15" t="e">
        <f>COUNTIFS(#REF!,'Equipo aprobado UdeA'!$C$2,#REF!,'Equipo aprobado UdeA'!A4,#REF!,"&lt;&gt;")</f>
        <v>#REF!</v>
      </c>
      <c r="D4" s="15" t="e">
        <f>COUNTIFS(#REF!,'Equipo aprobado UdeA'!$D$2,#REF!,'Equipo aprobado UdeA'!A4,#REF!,"&lt;&gt;")</f>
        <v>#REF!</v>
      </c>
      <c r="E4" s="15" t="e">
        <f>COUNTIFS(#REF!,'Equipo aprobado UdeA'!$E$2,#REF!,'Equipo aprobado UdeA'!A4,#REF!,"&lt;&gt;")</f>
        <v>#REF!</v>
      </c>
      <c r="F4" s="15" t="e">
        <f>COUNTIFS(#REF!,'Equipo aprobado UdeA'!$F$2,#REF!,'Equipo aprobado UdeA'!A4,#REF!,"&lt;&gt;")</f>
        <v>#REF!</v>
      </c>
      <c r="G4" s="15" t="e">
        <f>COUNTIFS(#REF!,$G$2,#REF!,'Equipo aprobado UdeA'!A4,#REF!,"&lt;&gt;")</f>
        <v>#REF!</v>
      </c>
      <c r="H4" s="15" t="e">
        <f t="shared" ref="H4:H9" si="0">SUM(B4:G4)</f>
        <v>#REF!</v>
      </c>
      <c r="I4" s="7">
        <v>5</v>
      </c>
      <c r="J4" s="4" t="s">
        <v>380</v>
      </c>
    </row>
    <row r="5" spans="1:10" x14ac:dyDescent="0.3">
      <c r="A5" s="3" t="s">
        <v>382</v>
      </c>
      <c r="B5" s="15" t="e">
        <f>COUNTIFS(#REF!,'Equipo aprobado UdeA'!$B$2,#REF!,'Equipo aprobado UdeA'!A5,#REF!,"&lt;&gt;")</f>
        <v>#REF!</v>
      </c>
      <c r="C5" s="15" t="e">
        <f>COUNTIFS(#REF!,'Equipo aprobado UdeA'!$C$2,#REF!,'Equipo aprobado UdeA'!A5,#REF!,"&lt;&gt;")</f>
        <v>#REF!</v>
      </c>
      <c r="D5" s="15" t="e">
        <f>COUNTIFS(#REF!,'Equipo aprobado UdeA'!$D$2,#REF!,'Equipo aprobado UdeA'!A5,#REF!,"&lt;&gt;")</f>
        <v>#REF!</v>
      </c>
      <c r="E5" s="15" t="e">
        <f>COUNTIFS(#REF!,'Equipo aprobado UdeA'!$E$2,#REF!,'Equipo aprobado UdeA'!A5,#REF!,"&lt;&gt;")</f>
        <v>#REF!</v>
      </c>
      <c r="F5" s="15" t="e">
        <f>COUNTIFS(#REF!,'Equipo aprobado UdeA'!$F$2,#REF!,'Equipo aprobado UdeA'!A5,#REF!,"&lt;&gt;")</f>
        <v>#REF!</v>
      </c>
      <c r="G5" s="15" t="e">
        <f>COUNTIFS(#REF!,$G$2,#REF!,'Equipo aprobado UdeA'!A5,#REF!,"&lt;&gt;")</f>
        <v>#REF!</v>
      </c>
      <c r="H5" s="15" t="e">
        <f t="shared" si="0"/>
        <v>#REF!</v>
      </c>
      <c r="I5" s="7">
        <v>5</v>
      </c>
      <c r="J5" s="4" t="s">
        <v>380</v>
      </c>
    </row>
    <row r="6" spans="1:10" x14ac:dyDescent="0.3">
      <c r="A6" s="3" t="s">
        <v>383</v>
      </c>
      <c r="B6" s="15" t="e">
        <f>COUNTIFS(#REF!,'Equipo aprobado UdeA'!$B$2,#REF!,'Equipo aprobado UdeA'!A6,#REF!,"&lt;&gt;")</f>
        <v>#REF!</v>
      </c>
      <c r="C6" s="15" t="e">
        <f>COUNTIFS(#REF!,'Equipo aprobado UdeA'!$C$2,#REF!,'Equipo aprobado UdeA'!A6,#REF!,"&lt;&gt;")</f>
        <v>#REF!</v>
      </c>
      <c r="D6" s="15" t="e">
        <f>COUNTIFS(#REF!,'Equipo aprobado UdeA'!$D$2,#REF!,'Equipo aprobado UdeA'!A6,#REF!,"&lt;&gt;")</f>
        <v>#REF!</v>
      </c>
      <c r="E6" s="15" t="e">
        <f>COUNTIFS(#REF!,'Equipo aprobado UdeA'!$E$2,#REF!,'Equipo aprobado UdeA'!A6,#REF!,"&lt;&gt;")</f>
        <v>#REF!</v>
      </c>
      <c r="F6" s="15" t="e">
        <f>COUNTIFS(#REF!,'Equipo aprobado UdeA'!$F$2,#REF!,'Equipo aprobado UdeA'!A6,#REF!,"&lt;&gt;")</f>
        <v>#REF!</v>
      </c>
      <c r="G6" s="15" t="e">
        <f>COUNTIFS(#REF!,$G$2,#REF!,'Equipo aprobado UdeA'!A6,#REF!,"&lt;&gt;")</f>
        <v>#REF!</v>
      </c>
      <c r="H6" s="15" t="e">
        <f t="shared" si="0"/>
        <v>#REF!</v>
      </c>
      <c r="I6" s="7">
        <v>5</v>
      </c>
      <c r="J6" s="4" t="s">
        <v>380</v>
      </c>
    </row>
    <row r="7" spans="1:10" x14ac:dyDescent="0.3">
      <c r="A7" s="3" t="s">
        <v>384</v>
      </c>
      <c r="B7" s="15" t="e">
        <f>COUNTIFS(#REF!,'Equipo aprobado UdeA'!$B$2,#REF!,'Equipo aprobado UdeA'!A7,#REF!,"&lt;&gt;")</f>
        <v>#REF!</v>
      </c>
      <c r="C7" s="15" t="e">
        <f>COUNTIFS(#REF!,'Equipo aprobado UdeA'!$C$2,#REF!,'Equipo aprobado UdeA'!A7,#REF!,"&lt;&gt;")</f>
        <v>#REF!</v>
      </c>
      <c r="D7" s="15" t="e">
        <f>COUNTIFS(#REF!,'Equipo aprobado UdeA'!$D$2,#REF!,'Equipo aprobado UdeA'!A7,#REF!,"&lt;&gt;")</f>
        <v>#REF!</v>
      </c>
      <c r="E7" s="15" t="e">
        <f>COUNTIFS(#REF!,'Equipo aprobado UdeA'!$E$2,#REF!,'Equipo aprobado UdeA'!A7,#REF!,"&lt;&gt;")</f>
        <v>#REF!</v>
      </c>
      <c r="F7" s="15" t="e">
        <f>COUNTIFS(#REF!,'Equipo aprobado UdeA'!$F$2,#REF!,'Equipo aprobado UdeA'!A7,#REF!,"&lt;&gt;")</f>
        <v>#REF!</v>
      </c>
      <c r="G7" s="15" t="e">
        <f>COUNTIFS(#REF!,$G$2,#REF!,'Equipo aprobado UdeA'!A7,#REF!,"&lt;&gt;")</f>
        <v>#REF!</v>
      </c>
      <c r="H7" s="15" t="e">
        <f t="shared" si="0"/>
        <v>#REF!</v>
      </c>
      <c r="I7" s="7">
        <v>15</v>
      </c>
      <c r="J7" s="4" t="s">
        <v>380</v>
      </c>
    </row>
    <row r="8" spans="1:10" x14ac:dyDescent="0.3">
      <c r="A8" s="3" t="s">
        <v>385</v>
      </c>
      <c r="B8" s="15" t="e">
        <f>COUNTIFS(#REF!,'Equipo aprobado UdeA'!$B$2,#REF!,'Equipo aprobado UdeA'!A8,#REF!,"&lt;&gt;")</f>
        <v>#REF!</v>
      </c>
      <c r="C8" s="15" t="e">
        <f>COUNTIFS(#REF!,'Equipo aprobado UdeA'!$C$2,#REF!,'Equipo aprobado UdeA'!A8,#REF!,"&lt;&gt;")</f>
        <v>#REF!</v>
      </c>
      <c r="D8" s="15" t="e">
        <f>COUNTIFS(#REF!,'Equipo aprobado UdeA'!$D$2,#REF!,'Equipo aprobado UdeA'!A8,#REF!,"&lt;&gt;")</f>
        <v>#REF!</v>
      </c>
      <c r="E8" s="15" t="e">
        <f>COUNTIFS(#REF!,'Equipo aprobado UdeA'!$E$2,#REF!,'Equipo aprobado UdeA'!A8,#REF!,"&lt;&gt;")</f>
        <v>#REF!</v>
      </c>
      <c r="F8" s="15" t="e">
        <f>COUNTIFS(#REF!,'Equipo aprobado UdeA'!$F$2,#REF!,'Equipo aprobado UdeA'!A8,#REF!,"&lt;&gt;")</f>
        <v>#REF!</v>
      </c>
      <c r="G8" s="15" t="e">
        <f>COUNTIFS(#REF!,$G$2,#REF!,'Equipo aprobado UdeA'!A8,#REF!,"&lt;&gt;")</f>
        <v>#REF!</v>
      </c>
      <c r="H8" s="15" t="e">
        <f t="shared" si="0"/>
        <v>#REF!</v>
      </c>
      <c r="I8" s="6">
        <v>25</v>
      </c>
      <c r="J8" s="4" t="s">
        <v>380</v>
      </c>
    </row>
    <row r="9" spans="1:10" x14ac:dyDescent="0.3">
      <c r="A9" s="8" t="s">
        <v>386</v>
      </c>
      <c r="B9" s="16" t="e">
        <f>COUNTIFS(#REF!,'Equipo aprobado UdeA'!$B$2,#REF!,'Equipo aprobado UdeA'!A1,#REF!,"")</f>
        <v>#REF!</v>
      </c>
      <c r="C9" s="16" t="e">
        <f>COUNTIFS(#REF!,'Equipo aprobado UdeA'!$C$2,#REF!,'Equipo aprobado UdeA'!A1,#REF!,"")</f>
        <v>#REF!</v>
      </c>
      <c r="D9" s="16" t="e">
        <f>COUNTIFS(#REF!,'Equipo aprobado UdeA'!$D$2,#REF!,'Equipo aprobado UdeA'!A1,#REF!,"")</f>
        <v>#REF!</v>
      </c>
      <c r="E9" s="16" t="e">
        <f>COUNTIFS(#REF!,'Equipo aprobado UdeA'!$E$2,#REF!,'Equipo aprobado UdeA'!A1,#REF!,"")</f>
        <v>#REF!</v>
      </c>
      <c r="F9" s="16" t="e">
        <f>COUNTIFS(#REF!,'Equipo aprobado UdeA'!$F$2,#REF!,'Equipo aprobado UdeA'!A1,#REF!,"")</f>
        <v>#REF!</v>
      </c>
      <c r="G9" s="16" t="e">
        <f>COUNTIFS(#REF!,'Equipo aprobado UdeA'!$G$2,#REF!,'Equipo aprobado UdeA'!A1,#REF!,"")</f>
        <v>#REF!</v>
      </c>
      <c r="H9" s="16" t="e">
        <f t="shared" si="0"/>
        <v>#REF!</v>
      </c>
      <c r="I9" s="15"/>
    </row>
    <row r="10" spans="1:10" x14ac:dyDescent="0.3">
      <c r="A10" s="9" t="s">
        <v>387</v>
      </c>
      <c r="B10" s="9" t="e">
        <f>SUM(B3:B8)</f>
        <v>#REF!</v>
      </c>
      <c r="C10" s="9" t="e">
        <f>SUM(C3:C8)</f>
        <v>#REF!</v>
      </c>
      <c r="D10" s="9" t="e">
        <f>SUM(D3:D8)</f>
        <v>#REF!</v>
      </c>
      <c r="E10" s="9" t="e">
        <f>SUM(E3:E8)</f>
        <v>#REF!</v>
      </c>
      <c r="F10" s="9" t="e">
        <f t="shared" ref="F10:G10" si="1">SUM(F3:F8)</f>
        <v>#REF!</v>
      </c>
      <c r="G10" s="9" t="e">
        <f t="shared" si="1"/>
        <v>#REF!</v>
      </c>
      <c r="H10" s="9" t="e">
        <f>SUM(H3:H8)</f>
        <v>#REF!</v>
      </c>
      <c r="I10" s="9">
        <f>SUM(I3:I8)</f>
        <v>60</v>
      </c>
    </row>
    <row r="11" spans="1:10" x14ac:dyDescent="0.3">
      <c r="B11" s="10" t="e">
        <f>B10/$I$10</f>
        <v>#REF!</v>
      </c>
      <c r="C11" s="10" t="e">
        <f>C10/$I$10</f>
        <v>#REF!</v>
      </c>
      <c r="D11" s="10" t="e">
        <f>D10/$I$10</f>
        <v>#REF!</v>
      </c>
      <c r="E11" s="10" t="e">
        <f>E10/$I$10</f>
        <v>#REF!</v>
      </c>
      <c r="F11" s="10" t="e">
        <f t="shared" ref="F11:H11" si="2">F10/$I$10</f>
        <v>#REF!</v>
      </c>
      <c r="G11" s="10" t="e">
        <f t="shared" si="2"/>
        <v>#REF!</v>
      </c>
      <c r="H11" s="11" t="e">
        <f t="shared" si="2"/>
        <v>#REF!</v>
      </c>
      <c r="I11" s="12"/>
    </row>
    <row r="12" spans="1:10" x14ac:dyDescent="0.3">
      <c r="I12" s="13"/>
    </row>
    <row r="13" spans="1:10" ht="14.4" customHeight="1" x14ac:dyDescent="0.3">
      <c r="A13" s="63" t="s">
        <v>263</v>
      </c>
      <c r="B13" s="64" t="s">
        <v>393</v>
      </c>
      <c r="C13" s="65"/>
      <c r="D13" s="65"/>
      <c r="E13" s="65"/>
      <c r="F13" s="65"/>
      <c r="G13" s="66"/>
      <c r="H13" s="67" t="s">
        <v>378</v>
      </c>
      <c r="I13" s="63" t="s">
        <v>388</v>
      </c>
    </row>
    <row r="14" spans="1:10" x14ac:dyDescent="0.3">
      <c r="A14" s="63"/>
      <c r="B14" s="5">
        <f>B2</f>
        <v>46035</v>
      </c>
      <c r="C14" s="5">
        <f>C2</f>
        <v>46039</v>
      </c>
      <c r="D14" s="5">
        <f>D2</f>
        <v>46043</v>
      </c>
      <c r="E14" s="5">
        <f>E2</f>
        <v>46049</v>
      </c>
      <c r="F14" s="5">
        <f t="shared" ref="F14:G14" si="3">F2</f>
        <v>46057</v>
      </c>
      <c r="G14" s="5">
        <f t="shared" si="3"/>
        <v>0</v>
      </c>
      <c r="H14" s="68"/>
      <c r="I14" s="63"/>
    </row>
    <row r="15" spans="1:10" x14ac:dyDescent="0.3">
      <c r="A15" s="3" t="s">
        <v>389</v>
      </c>
      <c r="B15" s="15" t="e">
        <f>COUNTIFS(#REF!,'Equipo aprobado UdeA'!$B$14,#REF!,'Equipo aprobado UdeA'!A15,#REF!,"&lt;&gt;")</f>
        <v>#REF!</v>
      </c>
      <c r="C15" s="15" t="e">
        <f>COUNTIFS(#REF!,'Equipo aprobado UdeA'!$C$14,#REF!,'Equipo aprobado UdeA'!A15,#REF!,"&lt;&gt;")</f>
        <v>#REF!</v>
      </c>
      <c r="D15" s="15" t="e">
        <f>COUNTIFS(#REF!,'Equipo aprobado UdeA'!$D$14,#REF!,'Equipo aprobado UdeA'!A15,#REF!,"&lt;&gt;")</f>
        <v>#REF!</v>
      </c>
      <c r="E15" s="15" t="e">
        <f>COUNTIFS(#REF!,'Equipo aprobado UdeA'!$E$14,#REF!,'Equipo aprobado UdeA'!A15,#REF!,"&lt;&gt;")</f>
        <v>#REF!</v>
      </c>
      <c r="F15" s="15" t="e">
        <f>COUNTIFS(#REF!,'Equipo aprobado UdeA'!$F$14,#REF!,'Equipo aprobado UdeA'!A15,#REF!,"&lt;&gt;")</f>
        <v>#REF!</v>
      </c>
      <c r="G15" s="15" t="e">
        <f>COUNTIFS(#REF!,'Equipo aprobado UdeA'!$G$14,#REF!,'Equipo aprobado UdeA'!A15,#REF!,"&lt;&gt;")</f>
        <v>#REF!</v>
      </c>
      <c r="H15" s="15" t="e">
        <f>SUM(B15:G15)</f>
        <v>#REF!</v>
      </c>
      <c r="I15" s="15">
        <v>10</v>
      </c>
      <c r="J15" s="4" t="s">
        <v>390</v>
      </c>
    </row>
    <row r="16" spans="1:10" x14ac:dyDescent="0.3">
      <c r="A16" s="3" t="s">
        <v>101</v>
      </c>
      <c r="B16" s="15" t="e">
        <f>COUNTIFS(#REF!,'Equipo aprobado UdeA'!$B$14,#REF!,'Equipo aprobado UdeA'!A16,#REF!,"&lt;&gt;")</f>
        <v>#REF!</v>
      </c>
      <c r="C16" s="15" t="e">
        <f>COUNTIFS(#REF!,'Equipo aprobado UdeA'!$C$14,#REF!,'Equipo aprobado UdeA'!A16,#REF!,"&lt;&gt;")</f>
        <v>#REF!</v>
      </c>
      <c r="D16" s="15" t="e">
        <f>COUNTIFS(#REF!,'Equipo aprobado UdeA'!$D$14,#REF!,'Equipo aprobado UdeA'!A16,#REF!,"&lt;&gt;")</f>
        <v>#REF!</v>
      </c>
      <c r="E16" s="15" t="e">
        <f>COUNTIFS(#REF!,'Equipo aprobado UdeA'!$E$14,#REF!,'Equipo aprobado UdeA'!A16,#REF!,"&lt;&gt;")</f>
        <v>#REF!</v>
      </c>
      <c r="F16" s="15" t="e">
        <f>COUNTIFS(#REF!,'Equipo aprobado UdeA'!$F$14,#REF!,'Equipo aprobado UdeA'!A16,#REF!,"&lt;&gt;")</f>
        <v>#REF!</v>
      </c>
      <c r="G16" s="15" t="e">
        <f>COUNTIFS(#REF!,'Equipo aprobado UdeA'!$G$14,#REF!,'Equipo aprobado UdeA'!A16,#REF!,"&lt;&gt;")</f>
        <v>#REF!</v>
      </c>
      <c r="H16" s="15" t="e">
        <f>SUM(B16:G16)</f>
        <v>#REF!</v>
      </c>
      <c r="I16" s="6">
        <v>165</v>
      </c>
      <c r="J16" s="4" t="s">
        <v>390</v>
      </c>
    </row>
    <row r="17" spans="1:10" x14ac:dyDescent="0.3">
      <c r="A17" s="3" t="s">
        <v>349</v>
      </c>
      <c r="B17" s="15" t="e">
        <f>COUNTIFS(#REF!,'Equipo aprobado UdeA'!$B$14,#REF!,'Equipo aprobado UdeA'!A17,#REF!,"&lt;&gt;")</f>
        <v>#REF!</v>
      </c>
      <c r="C17" s="15" t="e">
        <f>COUNTIFS(#REF!,'Equipo aprobado UdeA'!$C$14,#REF!,'Equipo aprobado UdeA'!A17,#REF!,"&lt;&gt;")</f>
        <v>#REF!</v>
      </c>
      <c r="D17" s="15" t="e">
        <f>COUNTIFS(#REF!,'Equipo aprobado UdeA'!$D$14,#REF!,'Equipo aprobado UdeA'!A17,#REF!,"&lt;&gt;")</f>
        <v>#REF!</v>
      </c>
      <c r="E17" s="15" t="e">
        <f>COUNTIFS(#REF!,'Equipo aprobado UdeA'!$E$14,#REF!,'Equipo aprobado UdeA'!A17,#REF!,"&lt;&gt;")</f>
        <v>#REF!</v>
      </c>
      <c r="F17" s="15" t="e">
        <f>COUNTIFS(#REF!,'Equipo aprobado UdeA'!$F$14,#REF!,'Equipo aprobado UdeA'!A17,#REF!,"&lt;&gt;")</f>
        <v>#REF!</v>
      </c>
      <c r="G17" s="15" t="e">
        <f>COUNTIFS(#REF!,'Equipo aprobado UdeA'!$G$14,#REF!,'Equipo aprobado UdeA'!A17,#REF!,"&lt;&gt;")</f>
        <v>#REF!</v>
      </c>
      <c r="H17" s="15" t="e">
        <f>SUM(B17:G17)</f>
        <v>#REF!</v>
      </c>
      <c r="I17" s="6">
        <v>65</v>
      </c>
      <c r="J17" s="4" t="s">
        <v>390</v>
      </c>
    </row>
    <row r="18" spans="1:10" x14ac:dyDescent="0.3">
      <c r="A18" s="8" t="s">
        <v>386</v>
      </c>
      <c r="B18" s="16" t="e">
        <f>COUNTIFS(#REF!,'Equipo aprobado UdeA'!$B$14,#REF!,'Equipo aprobado UdeA'!A13,#REF!,"")</f>
        <v>#REF!</v>
      </c>
      <c r="C18" s="16" t="e">
        <f>COUNTIFS(#REF!,'Equipo aprobado UdeA'!$C$14,#REF!,'Equipo aprobado UdeA'!A13,#REF!,"")</f>
        <v>#REF!</v>
      </c>
      <c r="D18" s="16" t="e">
        <f>COUNTIFS(#REF!,'Equipo aprobado UdeA'!$D$14,#REF!,'Equipo aprobado UdeA'!A13,#REF!,"")</f>
        <v>#REF!</v>
      </c>
      <c r="E18" s="16" t="e">
        <f>COUNTIFS(#REF!,'Equipo aprobado UdeA'!$E$14,#REF!,'Equipo aprobado UdeA'!A13,#REF!,"")</f>
        <v>#REF!</v>
      </c>
      <c r="F18" s="16" t="e">
        <f>COUNTIFS(#REF!,'Equipo aprobado UdeA'!$F$14,#REF!,'Equipo aprobado UdeA'!A13,#REF!,"")</f>
        <v>#REF!</v>
      </c>
      <c r="G18" s="16" t="e">
        <f>COUNTIFS(#REF!,'Equipo aprobado UdeA'!$G$14,#REF!,'Equipo aprobado UdeA'!A13,#REF!,"")</f>
        <v>#REF!</v>
      </c>
      <c r="H18" s="16" t="e">
        <f>SUM(B18:G18)</f>
        <v>#REF!</v>
      </c>
      <c r="I18" s="15"/>
    </row>
    <row r="19" spans="1:10" x14ac:dyDescent="0.3">
      <c r="A19" s="9" t="s">
        <v>387</v>
      </c>
      <c r="B19" s="9" t="e">
        <f>SUM(B15:B17)</f>
        <v>#REF!</v>
      </c>
      <c r="C19" s="9" t="e">
        <f>SUM(C15:C17)</f>
        <v>#REF!</v>
      </c>
      <c r="D19" s="9" t="e">
        <f>SUM(D15:D17)</f>
        <v>#REF!</v>
      </c>
      <c r="E19" s="9" t="e">
        <f>SUM(E15:E17)</f>
        <v>#REF!</v>
      </c>
      <c r="F19" s="9" t="e">
        <f t="shared" ref="F19:G19" si="4">SUM(F15:F17)</f>
        <v>#REF!</v>
      </c>
      <c r="G19" s="9" t="e">
        <f t="shared" si="4"/>
        <v>#REF!</v>
      </c>
      <c r="H19" s="9" t="e">
        <f>SUM(H15:H17)</f>
        <v>#REF!</v>
      </c>
      <c r="I19" s="9">
        <f>SUM(I15:I17)</f>
        <v>240</v>
      </c>
    </row>
    <row r="20" spans="1:10" x14ac:dyDescent="0.3">
      <c r="B20" s="10" t="e">
        <f>B19/$I$19</f>
        <v>#REF!</v>
      </c>
      <c r="C20" s="10" t="e">
        <f t="shared" ref="C20:H20" si="5">C19/$I$19</f>
        <v>#REF!</v>
      </c>
      <c r="D20" s="10" t="e">
        <f t="shared" si="5"/>
        <v>#REF!</v>
      </c>
      <c r="E20" s="10" t="e">
        <f t="shared" si="5"/>
        <v>#REF!</v>
      </c>
      <c r="F20" s="10" t="e">
        <f t="shared" si="5"/>
        <v>#REF!</v>
      </c>
      <c r="G20" s="10" t="e">
        <f t="shared" si="5"/>
        <v>#REF!</v>
      </c>
      <c r="H20" s="11" t="e">
        <f t="shared" si="5"/>
        <v>#REF!</v>
      </c>
    </row>
    <row r="22" spans="1:10" x14ac:dyDescent="0.3">
      <c r="J22" s="4" t="e">
        <f>H10+H19</f>
        <v>#REF!</v>
      </c>
    </row>
    <row r="23" spans="1:10" x14ac:dyDescent="0.3">
      <c r="J23" s="4" t="e">
        <f>H9+H18</f>
        <v>#REF!</v>
      </c>
    </row>
    <row r="24" spans="1:10" x14ac:dyDescent="0.3">
      <c r="C24" s="14"/>
      <c r="J24" s="4" t="e">
        <f>SUM(J22:J23)</f>
        <v>#REF!</v>
      </c>
    </row>
  </sheetData>
  <mergeCells count="8">
    <mergeCell ref="A1:A2"/>
    <mergeCell ref="B1:G1"/>
    <mergeCell ref="H1:H2"/>
    <mergeCell ref="I1:I2"/>
    <mergeCell ref="A13:A14"/>
    <mergeCell ref="B13:G13"/>
    <mergeCell ref="H13:H14"/>
    <mergeCell ref="I13:I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0545-E2CE-48E9-8CC0-355C6037EDDB}">
  <dimension ref="B1:D10"/>
  <sheetViews>
    <sheetView workbookViewId="0">
      <selection activeCell="C16" sqref="C16"/>
    </sheetView>
  </sheetViews>
  <sheetFormatPr baseColWidth="10" defaultRowHeight="14.4" x14ac:dyDescent="0.3"/>
  <cols>
    <col min="2" max="2" width="42.109375" style="17" customWidth="1"/>
  </cols>
  <sheetData>
    <row r="1" spans="2:4" x14ac:dyDescent="0.3">
      <c r="B1" s="18" t="s">
        <v>3</v>
      </c>
      <c r="D1" t="s">
        <v>841</v>
      </c>
    </row>
    <row r="2" spans="2:4" x14ac:dyDescent="0.3">
      <c r="B2" s="2" t="s">
        <v>366</v>
      </c>
      <c r="D2" t="s">
        <v>842</v>
      </c>
    </row>
    <row r="3" spans="2:4" x14ac:dyDescent="0.3">
      <c r="B3" s="1" t="s">
        <v>389</v>
      </c>
      <c r="D3" t="s">
        <v>843</v>
      </c>
    </row>
    <row r="4" spans="2:4" x14ac:dyDescent="0.3">
      <c r="B4" s="2" t="s">
        <v>101</v>
      </c>
    </row>
    <row r="5" spans="2:4" x14ac:dyDescent="0.3">
      <c r="B5" s="2" t="s">
        <v>383</v>
      </c>
    </row>
    <row r="6" spans="2:4" x14ac:dyDescent="0.3">
      <c r="B6" s="2" t="s">
        <v>382</v>
      </c>
    </row>
    <row r="7" spans="2:4" x14ac:dyDescent="0.3">
      <c r="B7" s="2" t="s">
        <v>261</v>
      </c>
    </row>
    <row r="8" spans="2:4" x14ac:dyDescent="0.3">
      <c r="B8" s="2" t="s">
        <v>381</v>
      </c>
    </row>
    <row r="9" spans="2:4" x14ac:dyDescent="0.3">
      <c r="B9" s="2" t="s">
        <v>349</v>
      </c>
    </row>
    <row r="10" spans="2:4" x14ac:dyDescent="0.3">
      <c r="B10" s="2" t="s">
        <v>384</v>
      </c>
    </row>
  </sheetData>
  <autoFilter ref="B1" xr:uid="{01C00545-E2CE-48E9-8CC0-355C6037EDDB}">
    <sortState xmlns:xlrd2="http://schemas.microsoft.com/office/spreadsheetml/2017/richdata2" ref="B2:B30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TD 29 ABRL</vt:lpstr>
      <vt:lpstr>Faltantes eq.min</vt:lpstr>
      <vt:lpstr>Base sin duplicados  </vt:lpstr>
      <vt:lpstr>Cambio de roles</vt:lpstr>
      <vt:lpstr>TD</vt:lpstr>
      <vt:lpstr>Equipo aprobado UdeA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2026-01-09T13:49:22Z</dcterms:created>
  <dcterms:modified xsi:type="dcterms:W3CDTF">2026-06-12T13:55:32Z</dcterms:modified>
</cp:coreProperties>
</file>